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<sst xmlns="http://schemas.openxmlformats.org/spreadsheetml/2006/main" count="229" uniqueCount="81">
  <si>
    <t>字段名称</t>
  </si>
  <si>
    <t>有效性</t>
  </si>
  <si>
    <t>用例类型</t>
  </si>
  <si>
    <t>用例状态</t>
  </si>
  <si>
    <t>本版本是否涉及</t>
  </si>
  <si>
    <t>用例编号</t>
  </si>
  <si>
    <t>用例标题</t>
  </si>
  <si>
    <t>前提条件</t>
  </si>
  <si>
    <t>操作步骤</t>
  </si>
  <si>
    <t>预期结果</t>
  </si>
  <si>
    <t>测试结果</t>
  </si>
  <si>
    <t>测试时间</t>
  </si>
  <si>
    <t>测试人员</t>
  </si>
  <si>
    <t>备注</t>
  </si>
  <si>
    <t>返回总目录</t>
  </si>
  <si>
    <t>开关量历史数据</t>
  </si>
  <si>
    <t>1级</t>
  </si>
  <si>
    <t>通用</t>
  </si>
  <si>
    <t>新增</t>
  </si>
  <si>
    <t>是</t>
  </si>
  <si>
    <t>ATS信号机状态</t>
  </si>
  <si>
    <t>ats与mss通信正常</t>
  </si>
  <si>
    <t>1、发送信号机状态报文
2、重启采集
3、继续发送同一状态报文</t>
  </si>
  <si>
    <t>开关量历史数据正确显示且重启采集不会重复记录</t>
  </si>
  <si>
    <t>通过</t>
  </si>
  <si>
    <t>农惠岚</t>
  </si>
  <si>
    <t>2025/3/24 测试通过</t>
  </si>
  <si>
    <t>ATS逻辑区段状态</t>
  </si>
  <si>
    <t>1、发送逻辑区段状态报文
2、重启采集
3、继续发送同一状态报文</t>
  </si>
  <si>
    <t>ATS道岔状态</t>
  </si>
  <si>
    <t>1、发送道岔状态报文
2、重启采集
3、继续发送同一状态报文</t>
  </si>
  <si>
    <t>ATS屏蔽门状态</t>
  </si>
  <si>
    <t>1、发送屏蔽门状态报文
2、重启采集
3、继续发送同一状态报文</t>
  </si>
  <si>
    <t>ATS紧急停车按钮状态</t>
  </si>
  <si>
    <t>1、发送紧急停车状态报文
2、重启采集
3、继续发送同一状态报文</t>
  </si>
  <si>
    <t>计轴区段-复零状态</t>
  </si>
  <si>
    <t>计轴与mss通信正常</t>
  </si>
  <si>
    <t>1、发送计轴区段复零按钮状态报文
2、重启采集
3、继续发送同一状态报文</t>
  </si>
  <si>
    <t>计轴区段-区段状态</t>
  </si>
  <si>
    <t>1、发送计轴区段区段状态报文
2、重启采集
3、继续发送同一状态报文</t>
  </si>
  <si>
    <t>2025/3/24
2025/3/25</t>
  </si>
  <si>
    <t>2025/3/24 测试不通过
2025/3/25 测试通过</t>
  </si>
  <si>
    <t>自采集继电器</t>
  </si>
  <si>
    <t>mms与mss通信正常</t>
  </si>
  <si>
    <t>1、发送自采集继电器状态报文
2、重启采集
3、继续发送同一状态报文</t>
  </si>
  <si>
    <t>vobc/aom通信中断报警多场景验证</t>
  </si>
  <si>
    <t>VOBC与MSS通信中断——正线</t>
  </si>
  <si>
    <t>vobc与mss通信正常</t>
  </si>
  <si>
    <t>1、发送vobc报文，001车在正线上
2、中断vobc报文发送</t>
  </si>
  <si>
    <t>弹出2级报警，报警内容：1车组VOBC与MSS通信状态—故障</t>
  </si>
  <si>
    <t>2025/3/25 测试通过</t>
  </si>
  <si>
    <t>VOBC与MSS通信中断——车辆段</t>
  </si>
  <si>
    <t>1、发送vobc报文，001车在车辆段上
2、中断vobc报文发送</t>
  </si>
  <si>
    <t>VOBC与MSS通信中断——停车场</t>
  </si>
  <si>
    <t>1、发送vobc报文，001车在停车场上
2、中断vobc报文发送</t>
  </si>
  <si>
    <t>VOBC与MSS通信中断——多车</t>
  </si>
  <si>
    <t>1、同时发送40辆车的vobc报文
2、中断vobc报文发送</t>
  </si>
  <si>
    <t>弹出40条2级报警，报警内容：xx车组VOBC与MSS通信状态—故障</t>
  </si>
  <si>
    <t>VOBC与MSS通信中断——20条限流</t>
  </si>
  <si>
    <t>已连续存在20条VOBC与MSS通信状态—故障报警</t>
  </si>
  <si>
    <t>1、发送vobc报文
2、中断vobc报文发送</t>
  </si>
  <si>
    <t>无报警弹出</t>
  </si>
  <si>
    <t>AOM与MSS通信中断——正线</t>
  </si>
  <si>
    <t>aom与mss通信正常</t>
  </si>
  <si>
    <t>1、发送aom报文，001车在正线上
2、中断aom报文发送</t>
  </si>
  <si>
    <t>弹出2级报警，报警内容：1车组aom与MSS通信状态—故障</t>
  </si>
  <si>
    <t>AOM与MSS通信中断——车辆段</t>
  </si>
  <si>
    <t>1、发送aom报文，001车在车辆段上
2、中断aom报文发送</t>
  </si>
  <si>
    <t>AOM与MSS通信中断——停车场</t>
  </si>
  <si>
    <t>1、发送aom报文，001车在停车场上
2、中断aom报文发送</t>
  </si>
  <si>
    <t>AOM与MSS通信中断——多车</t>
  </si>
  <si>
    <t>1、同时发送40辆车的aom报文
2、中断aom报文发送</t>
  </si>
  <si>
    <t>弹出40条2级报警，报警内容：xx车组aom与MSS通信状态—故障</t>
  </si>
  <si>
    <t>AOM与MSS通信中断——20条限流</t>
  </si>
  <si>
    <t>已连续存在20条AOM与MSS通信状态—故障报警</t>
  </si>
  <si>
    <t>1、发送aom报文
2、中断aom报文发送</t>
  </si>
  <si>
    <t>车载运行状态信息</t>
  </si>
  <si>
    <t>通过http接口获取车载运行状态信息</t>
  </si>
  <si>
    <t>1、同时发送40辆车的报文
2、查看采集到的报文数据</t>
  </si>
  <si>
    <t>能正常采集到报文，采集到的报文数据正确</t>
  </si>
  <si>
    <t>黄惠萍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</si>
</sst>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color rgb="FF80008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0" xfId="6" applyFont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3">
    <dxf>
      <fill>
        <patternFill patternType="solid">
          <bgColor theme="7" tint="0.399914548173467"/>
        </patternFill>
      </fill>
    </dxf>
    <dxf>
      <fill>
        <patternFill patternType="solid">
          <bgColor theme="7" tint="0.599993896298105"/>
        </patternFill>
      </fill>
    </dxf>
    <dxf>
      <fill>
        <patternFill patternType="solid">
          <bgColor theme="7" tint="0.799920651875362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numFmt numFmtId="0" formatCode="General"/>
      <fill>
        <patternFill patternType="solid">
          <bgColor rgb="FFFFFF00"/>
        </patternFill>
      </fill>
    </dxf>
    <dxf>
      <fill>
        <patternFill patternType="solid">
          <bgColor theme="6" tint="0.4"/>
        </patternFill>
      </fill>
    </dxf>
    <dxf>
      <fill>
        <patternFill patternType="solid">
          <bgColor theme="3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8CBAD"/>
        </patternFill>
      </fill>
    </dxf>
    <dxf>
      <fill>
        <patternFill patternType="solid">
          <bgColor rgb="FFF4B084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7" tint="-0.25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PivotStylePreset2_Accent1" table="0" count="10" xr9:uid="{267968C8-6FFD-4C36-ACC1-9EA1FD1885CA}">
      <tableStyleElement type="headerRow" dxfId="32"/>
      <tableStyleElement type="totalRow" dxfId="31"/>
      <tableStyleElement type="firstRowStripe" dxfId="30"/>
      <tableStyleElement type="firstColumnStripe" dxfId="29"/>
      <tableStyleElement type="firstSubtotalRow" dxfId="28"/>
      <tableStyleElement type="secondSubtotalRow" dxfId="27"/>
      <tableStyleElement type="firstRowSubheading" dxfId="26"/>
      <tableStyleElement type="secondRowSubheading" dxfId="25"/>
      <tableStyleElement type="pageFieldLabels" dxfId="24"/>
      <tableStyleElement type="pageFieldValues" dxfId="2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tabSelected="1" topLeftCell="F1" workbookViewId="0">
      <selection activeCell="P6" sqref="P6"/>
    </sheetView>
  </sheetViews>
  <sheetFormatPr defaultColWidth="9" defaultRowHeight="13.5"/>
  <cols>
    <col min="1" max="1" width="15.8833333333333" customWidth="1"/>
    <col min="2" max="2" width="9.5" customWidth="1"/>
    <col min="3" max="3" width="10" customWidth="1"/>
    <col min="4" max="6" width="19.8916666666667" customWidth="1"/>
    <col min="7" max="7" width="37.6666666666667" customWidth="1"/>
    <col min="8" max="8" width="22.6333333333333" customWidth="1"/>
    <col min="9" max="9" width="41.75" customWidth="1"/>
    <col min="10" max="10" width="34.5" customWidth="1"/>
    <col min="11" max="11" width="10.75" customWidth="1"/>
    <col min="12" max="13" width="12" customWidth="1"/>
    <col min="14" max="14" width="20.5" customWidth="1"/>
    <col min="15" max="15" width="11.625" customWidth="1"/>
  </cols>
  <sheetData>
    <row r="1" s="1" customFormat="1" ht="14.25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7" t="s">
        <v>14</v>
      </c>
    </row>
    <row r="2" s="1" customFormat="1" ht="42.75" spans="1:15">
      <c r="A2" s="3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4" t="str">
        <f t="shared" ref="F2:F15" si="0">"其他-"&amp;ROW()-1</f>
        <v>其他-1</v>
      </c>
      <c r="G2" s="4" t="s">
        <v>20</v>
      </c>
      <c r="H2" s="4" t="s">
        <v>21</v>
      </c>
      <c r="I2" s="8" t="s">
        <v>22</v>
      </c>
      <c r="J2" s="4" t="s">
        <v>23</v>
      </c>
      <c r="K2" s="2" t="s">
        <v>24</v>
      </c>
      <c r="L2" s="9">
        <v>45740</v>
      </c>
      <c r="M2" s="9" t="s">
        <v>25</v>
      </c>
      <c r="N2" s="9" t="s">
        <v>26</v>
      </c>
      <c r="O2" s="10"/>
    </row>
    <row r="3" s="1" customFormat="1" ht="42.75" spans="1:15">
      <c r="A3" s="5"/>
      <c r="B3" s="2" t="s">
        <v>16</v>
      </c>
      <c r="C3" s="2" t="s">
        <v>17</v>
      </c>
      <c r="D3" s="2" t="s">
        <v>18</v>
      </c>
      <c r="E3" s="2" t="s">
        <v>19</v>
      </c>
      <c r="F3" s="4" t="str">
        <f t="shared" si="0"/>
        <v>其他-2</v>
      </c>
      <c r="G3" s="4" t="s">
        <v>27</v>
      </c>
      <c r="H3" s="4" t="s">
        <v>21</v>
      </c>
      <c r="I3" s="8" t="s">
        <v>28</v>
      </c>
      <c r="J3" s="4" t="s">
        <v>23</v>
      </c>
      <c r="K3" s="2" t="s">
        <v>24</v>
      </c>
      <c r="L3" s="9">
        <v>45740</v>
      </c>
      <c r="M3" s="9" t="s">
        <v>25</v>
      </c>
      <c r="N3" s="9" t="s">
        <v>26</v>
      </c>
      <c r="O3" s="10"/>
    </row>
    <row r="4" s="1" customFormat="1" ht="42.75" spans="1:14">
      <c r="A4" s="5"/>
      <c r="B4" s="2" t="s">
        <v>16</v>
      </c>
      <c r="C4" s="2" t="s">
        <v>17</v>
      </c>
      <c r="D4" s="2" t="s">
        <v>18</v>
      </c>
      <c r="E4" s="2" t="s">
        <v>19</v>
      </c>
      <c r="F4" s="4" t="str">
        <f t="shared" si="0"/>
        <v>其他-3</v>
      </c>
      <c r="G4" s="4" t="s">
        <v>29</v>
      </c>
      <c r="H4" s="4" t="s">
        <v>21</v>
      </c>
      <c r="I4" s="8" t="s">
        <v>30</v>
      </c>
      <c r="J4" s="4" t="s">
        <v>23</v>
      </c>
      <c r="K4" s="2" t="s">
        <v>24</v>
      </c>
      <c r="L4" s="9">
        <v>45740</v>
      </c>
      <c r="M4" s="9" t="s">
        <v>25</v>
      </c>
      <c r="N4" s="9" t="s">
        <v>26</v>
      </c>
    </row>
    <row r="5" ht="42.75" spans="1:14">
      <c r="A5" s="5"/>
      <c r="B5" s="2" t="s">
        <v>16</v>
      </c>
      <c r="C5" s="2" t="s">
        <v>17</v>
      </c>
      <c r="D5" s="2" t="s">
        <v>18</v>
      </c>
      <c r="E5" s="2" t="s">
        <v>19</v>
      </c>
      <c r="F5" s="4" t="str">
        <f t="shared" si="0"/>
        <v>其他-4</v>
      </c>
      <c r="G5" s="4" t="s">
        <v>31</v>
      </c>
      <c r="H5" s="4" t="s">
        <v>21</v>
      </c>
      <c r="I5" s="8" t="s">
        <v>32</v>
      </c>
      <c r="J5" s="4" t="s">
        <v>23</v>
      </c>
      <c r="K5" s="2" t="s">
        <v>24</v>
      </c>
      <c r="L5" s="9">
        <v>45740</v>
      </c>
      <c r="M5" s="9" t="s">
        <v>25</v>
      </c>
      <c r="N5" s="9" t="s">
        <v>26</v>
      </c>
    </row>
    <row r="6" ht="42.75" spans="1:14">
      <c r="A6" s="5"/>
      <c r="B6" s="2" t="s">
        <v>16</v>
      </c>
      <c r="C6" s="2" t="s">
        <v>17</v>
      </c>
      <c r="D6" s="2" t="s">
        <v>18</v>
      </c>
      <c r="E6" s="2" t="s">
        <v>19</v>
      </c>
      <c r="F6" s="4" t="str">
        <f t="shared" si="0"/>
        <v>其他-5</v>
      </c>
      <c r="G6" s="4" t="s">
        <v>33</v>
      </c>
      <c r="H6" s="4" t="s">
        <v>21</v>
      </c>
      <c r="I6" s="8" t="s">
        <v>34</v>
      </c>
      <c r="J6" s="4" t="s">
        <v>23</v>
      </c>
      <c r="K6" s="2" t="s">
        <v>24</v>
      </c>
      <c r="L6" s="9">
        <v>45740</v>
      </c>
      <c r="M6" s="9" t="s">
        <v>25</v>
      </c>
      <c r="N6" s="9" t="s">
        <v>26</v>
      </c>
    </row>
    <row r="7" ht="42.75" spans="1:14">
      <c r="A7" s="5"/>
      <c r="B7" s="2" t="s">
        <v>16</v>
      </c>
      <c r="C7" s="2" t="s">
        <v>17</v>
      </c>
      <c r="D7" s="2" t="s">
        <v>18</v>
      </c>
      <c r="E7" s="2" t="s">
        <v>19</v>
      </c>
      <c r="F7" s="4" t="str">
        <f t="shared" si="0"/>
        <v>其他-6</v>
      </c>
      <c r="G7" s="4" t="s">
        <v>35</v>
      </c>
      <c r="H7" s="4" t="s">
        <v>36</v>
      </c>
      <c r="I7" s="8" t="s">
        <v>37</v>
      </c>
      <c r="J7" s="4" t="s">
        <v>23</v>
      </c>
      <c r="K7" s="2" t="s">
        <v>24</v>
      </c>
      <c r="L7" s="9">
        <v>45740</v>
      </c>
      <c r="M7" s="9" t="s">
        <v>25</v>
      </c>
      <c r="N7" s="9" t="s">
        <v>26</v>
      </c>
    </row>
    <row r="8" ht="42.75" spans="1:14">
      <c r="A8" s="5"/>
      <c r="B8" s="2" t="s">
        <v>16</v>
      </c>
      <c r="C8" s="2" t="s">
        <v>17</v>
      </c>
      <c r="D8" s="2" t="s">
        <v>18</v>
      </c>
      <c r="E8" s="2" t="s">
        <v>19</v>
      </c>
      <c r="F8" s="4" t="str">
        <f t="shared" si="0"/>
        <v>其他-7</v>
      </c>
      <c r="G8" s="4" t="s">
        <v>38</v>
      </c>
      <c r="H8" s="4" t="s">
        <v>36</v>
      </c>
      <c r="I8" s="8" t="s">
        <v>39</v>
      </c>
      <c r="J8" s="4" t="s">
        <v>23</v>
      </c>
      <c r="K8" s="2" t="s">
        <v>24</v>
      </c>
      <c r="L8" s="9" t="s">
        <v>40</v>
      </c>
      <c r="M8" s="9" t="s">
        <v>25</v>
      </c>
      <c r="N8" s="9" t="s">
        <v>41</v>
      </c>
    </row>
    <row r="9" ht="42.75" spans="1:14">
      <c r="A9" s="6"/>
      <c r="B9" s="2" t="s">
        <v>16</v>
      </c>
      <c r="C9" s="2" t="s">
        <v>17</v>
      </c>
      <c r="D9" s="2" t="s">
        <v>18</v>
      </c>
      <c r="E9" s="2" t="s">
        <v>19</v>
      </c>
      <c r="F9" s="4" t="str">
        <f t="shared" si="0"/>
        <v>其他-8</v>
      </c>
      <c r="G9" s="4" t="s">
        <v>42</v>
      </c>
      <c r="H9" s="4" t="s">
        <v>43</v>
      </c>
      <c r="I9" s="8" t="s">
        <v>44</v>
      </c>
      <c r="J9" s="4" t="s">
        <v>23</v>
      </c>
      <c r="K9" s="2" t="s">
        <v>24</v>
      </c>
      <c r="L9" s="9" t="s">
        <v>40</v>
      </c>
      <c r="M9" s="9" t="s">
        <v>25</v>
      </c>
      <c r="N9" s="9" t="s">
        <v>41</v>
      </c>
    </row>
    <row r="10" ht="28.5" spans="1:14">
      <c r="A10" s="3" t="s">
        <v>45</v>
      </c>
      <c r="B10" s="2" t="s">
        <v>16</v>
      </c>
      <c r="C10" s="2" t="s">
        <v>17</v>
      </c>
      <c r="D10" s="2" t="s">
        <v>18</v>
      </c>
      <c r="E10" s="2" t="s">
        <v>19</v>
      </c>
      <c r="F10" s="4" t="str">
        <f t="shared" si="0"/>
        <v>其他-9</v>
      </c>
      <c r="G10" s="4" t="s">
        <v>46</v>
      </c>
      <c r="H10" s="4" t="s">
        <v>47</v>
      </c>
      <c r="I10" s="8" t="s">
        <v>48</v>
      </c>
      <c r="J10" s="4" t="s">
        <v>49</v>
      </c>
      <c r="K10" s="2" t="s">
        <v>24</v>
      </c>
      <c r="L10" s="9">
        <v>45741</v>
      </c>
      <c r="M10" s="9" t="s">
        <v>25</v>
      </c>
      <c r="N10" s="9" t="s">
        <v>50</v>
      </c>
    </row>
    <row r="11" ht="28.5" spans="1:14">
      <c r="A11" s="5"/>
      <c r="B11" s="2" t="s">
        <v>16</v>
      </c>
      <c r="C11" s="2" t="s">
        <v>17</v>
      </c>
      <c r="D11" s="2" t="s">
        <v>18</v>
      </c>
      <c r="E11" s="2" t="s">
        <v>19</v>
      </c>
      <c r="F11" s="4" t="str">
        <f t="shared" si="0"/>
        <v>其他-10</v>
      </c>
      <c r="G11" s="4" t="s">
        <v>51</v>
      </c>
      <c r="H11" s="4" t="s">
        <v>47</v>
      </c>
      <c r="I11" s="8" t="s">
        <v>52</v>
      </c>
      <c r="J11" s="4" t="s">
        <v>49</v>
      </c>
      <c r="K11" s="2" t="s">
        <v>24</v>
      </c>
      <c r="L11" s="9">
        <v>45741</v>
      </c>
      <c r="M11" s="9" t="s">
        <v>25</v>
      </c>
      <c r="N11" s="9" t="s">
        <v>50</v>
      </c>
    </row>
    <row r="12" ht="28.5" spans="1:14">
      <c r="A12" s="5"/>
      <c r="B12" s="2" t="s">
        <v>16</v>
      </c>
      <c r="C12" s="2" t="s">
        <v>17</v>
      </c>
      <c r="D12" s="2" t="s">
        <v>18</v>
      </c>
      <c r="E12" s="2" t="s">
        <v>19</v>
      </c>
      <c r="F12" s="4" t="str">
        <f t="shared" si="0"/>
        <v>其他-11</v>
      </c>
      <c r="G12" s="4" t="s">
        <v>53</v>
      </c>
      <c r="H12" s="4" t="s">
        <v>47</v>
      </c>
      <c r="I12" s="8" t="s">
        <v>54</v>
      </c>
      <c r="J12" s="4" t="s">
        <v>49</v>
      </c>
      <c r="K12" s="2" t="s">
        <v>24</v>
      </c>
      <c r="L12" s="9">
        <v>45741</v>
      </c>
      <c r="M12" s="9" t="s">
        <v>25</v>
      </c>
      <c r="N12" s="9" t="s">
        <v>50</v>
      </c>
    </row>
    <row r="13" ht="28.5" spans="1:14">
      <c r="A13" s="5"/>
      <c r="B13" s="2" t="s">
        <v>16</v>
      </c>
      <c r="C13" s="2" t="s">
        <v>17</v>
      </c>
      <c r="D13" s="2" t="s">
        <v>18</v>
      </c>
      <c r="E13" s="2" t="s">
        <v>19</v>
      </c>
      <c r="F13" s="4" t="str">
        <f t="shared" si="0"/>
        <v>其他-12</v>
      </c>
      <c r="G13" s="4" t="s">
        <v>55</v>
      </c>
      <c r="H13" s="4" t="s">
        <v>47</v>
      </c>
      <c r="I13" s="8" t="s">
        <v>56</v>
      </c>
      <c r="J13" s="4" t="s">
        <v>57</v>
      </c>
      <c r="K13" s="2" t="s">
        <v>24</v>
      </c>
      <c r="L13" s="9">
        <v>45741</v>
      </c>
      <c r="M13" s="9" t="s">
        <v>25</v>
      </c>
      <c r="N13" s="9" t="s">
        <v>50</v>
      </c>
    </row>
    <row r="14" ht="28.5" spans="1:14">
      <c r="A14" s="5"/>
      <c r="B14" s="2" t="s">
        <v>16</v>
      </c>
      <c r="C14" s="2" t="s">
        <v>17</v>
      </c>
      <c r="D14" s="2" t="s">
        <v>18</v>
      </c>
      <c r="E14" s="2" t="s">
        <v>19</v>
      </c>
      <c r="F14" s="4" t="str">
        <f t="shared" si="0"/>
        <v>其他-13</v>
      </c>
      <c r="G14" s="4" t="s">
        <v>58</v>
      </c>
      <c r="H14" s="4" t="s">
        <v>59</v>
      </c>
      <c r="I14" s="8" t="s">
        <v>60</v>
      </c>
      <c r="J14" s="4" t="s">
        <v>61</v>
      </c>
      <c r="K14" s="2" t="s">
        <v>24</v>
      </c>
      <c r="L14" s="9">
        <v>45741</v>
      </c>
      <c r="M14" s="9" t="s">
        <v>25</v>
      </c>
      <c r="N14" s="9" t="s">
        <v>50</v>
      </c>
    </row>
    <row r="15" ht="28.5" spans="1:14">
      <c r="A15" s="5"/>
      <c r="B15" s="2" t="s">
        <v>16</v>
      </c>
      <c r="C15" s="2" t="s">
        <v>17</v>
      </c>
      <c r="D15" s="2" t="s">
        <v>18</v>
      </c>
      <c r="E15" s="2" t="s">
        <v>19</v>
      </c>
      <c r="F15" s="4" t="str">
        <f t="shared" si="0"/>
        <v>其他-14</v>
      </c>
      <c r="G15" s="4" t="s">
        <v>62</v>
      </c>
      <c r="H15" s="4" t="s">
        <v>63</v>
      </c>
      <c r="I15" s="8" t="s">
        <v>64</v>
      </c>
      <c r="J15" s="4" t="s">
        <v>65</v>
      </c>
      <c r="K15" s="2" t="s">
        <v>24</v>
      </c>
      <c r="L15" s="9">
        <v>45741</v>
      </c>
      <c r="M15" s="9" t="s">
        <v>25</v>
      </c>
      <c r="N15" s="9" t="s">
        <v>50</v>
      </c>
    </row>
    <row r="16" ht="28.5" spans="1:14">
      <c r="A16" s="5"/>
      <c r="B16" s="2" t="s">
        <v>16</v>
      </c>
      <c r="C16" s="2" t="s">
        <v>17</v>
      </c>
      <c r="D16" s="2" t="s">
        <v>18</v>
      </c>
      <c r="E16" s="2" t="s">
        <v>19</v>
      </c>
      <c r="F16" s="4" t="str">
        <f>"其他-"&amp;ROW()-1</f>
        <v>其他-15</v>
      </c>
      <c r="G16" s="4" t="s">
        <v>66</v>
      </c>
      <c r="H16" s="4" t="s">
        <v>63</v>
      </c>
      <c r="I16" s="8" t="s">
        <v>67</v>
      </c>
      <c r="J16" s="4" t="s">
        <v>65</v>
      </c>
      <c r="K16" s="2" t="s">
        <v>24</v>
      </c>
      <c r="L16" s="9">
        <v>45741</v>
      </c>
      <c r="M16" s="9" t="s">
        <v>25</v>
      </c>
      <c r="N16" s="9" t="s">
        <v>50</v>
      </c>
    </row>
    <row r="17" ht="28.5" spans="1:14">
      <c r="A17" s="5"/>
      <c r="B17" s="2" t="s">
        <v>16</v>
      </c>
      <c r="C17" s="2" t="s">
        <v>17</v>
      </c>
      <c r="D17" s="2" t="s">
        <v>18</v>
      </c>
      <c r="E17" s="2" t="s">
        <v>19</v>
      </c>
      <c r="F17" s="4" t="str">
        <f>"其他-"&amp;ROW()-1</f>
        <v>其他-16</v>
      </c>
      <c r="G17" s="4" t="s">
        <v>68</v>
      </c>
      <c r="H17" s="4" t="s">
        <v>63</v>
      </c>
      <c r="I17" s="8" t="s">
        <v>69</v>
      </c>
      <c r="J17" s="4" t="s">
        <v>65</v>
      </c>
      <c r="K17" s="2" t="s">
        <v>24</v>
      </c>
      <c r="L17" s="9">
        <v>45741</v>
      </c>
      <c r="M17" s="9" t="s">
        <v>25</v>
      </c>
      <c r="N17" s="9" t="s">
        <v>50</v>
      </c>
    </row>
    <row r="18" ht="28.5" spans="1:14">
      <c r="A18" s="5"/>
      <c r="B18" s="2" t="s">
        <v>16</v>
      </c>
      <c r="C18" s="2" t="s">
        <v>17</v>
      </c>
      <c r="D18" s="2" t="s">
        <v>18</v>
      </c>
      <c r="E18" s="2" t="s">
        <v>19</v>
      </c>
      <c r="F18" s="4" t="str">
        <f>"其他-"&amp;ROW()-1</f>
        <v>其他-17</v>
      </c>
      <c r="G18" s="4" t="s">
        <v>70</v>
      </c>
      <c r="H18" s="4" t="s">
        <v>63</v>
      </c>
      <c r="I18" s="8" t="s">
        <v>71</v>
      </c>
      <c r="J18" s="4" t="s">
        <v>72</v>
      </c>
      <c r="K18" s="2" t="s">
        <v>24</v>
      </c>
      <c r="L18" s="9">
        <v>45741</v>
      </c>
      <c r="M18" s="9" t="s">
        <v>25</v>
      </c>
      <c r="N18" s="9" t="s">
        <v>50</v>
      </c>
    </row>
    <row r="19" ht="28.5" spans="1:14">
      <c r="A19" s="6"/>
      <c r="B19" s="2" t="s">
        <v>16</v>
      </c>
      <c r="C19" s="2" t="s">
        <v>17</v>
      </c>
      <c r="D19" s="2" t="s">
        <v>18</v>
      </c>
      <c r="E19" s="2" t="s">
        <v>19</v>
      </c>
      <c r="F19" s="4" t="str">
        <f>"其他-"&amp;ROW()-1</f>
        <v>其他-18</v>
      </c>
      <c r="G19" s="4" t="s">
        <v>73</v>
      </c>
      <c r="H19" s="4" t="s">
        <v>74</v>
      </c>
      <c r="I19" s="8" t="s">
        <v>75</v>
      </c>
      <c r="J19" s="4" t="s">
        <v>61</v>
      </c>
      <c r="K19" s="2" t="s">
        <v>24</v>
      </c>
      <c r="L19" s="9">
        <v>45741</v>
      </c>
      <c r="M19" s="9" t="s">
        <v>25</v>
      </c>
      <c r="N19" s="9" t="s">
        <v>50</v>
      </c>
    </row>
    <row r="20" ht="28.5" spans="1:14">
      <c r="A20" s="4" t="s">
        <v>76</v>
      </c>
      <c r="B20" s="2" t="s">
        <v>16</v>
      </c>
      <c r="C20" s="2" t="s">
        <v>17</v>
      </c>
      <c r="D20" s="2" t="s">
        <v>18</v>
      </c>
      <c r="E20" s="2" t="s">
        <v>19</v>
      </c>
      <c r="F20" s="4" t="str">
        <f>"其他-"&amp;ROW()-1</f>
        <v>其他-19</v>
      </c>
      <c r="G20" s="4" t="s">
        <v>77</v>
      </c>
      <c r="H20" s="4" t="s">
        <v>47</v>
      </c>
      <c r="I20" s="8" t="s">
        <v>78</v>
      </c>
      <c r="J20" s="4" t="s">
        <v>79</v>
      </c>
      <c r="K20" s="2" t="s">
        <v>24</v>
      </c>
      <c r="L20" s="9">
        <v>45741</v>
      </c>
      <c r="M20" s="9" t="s">
        <v>80</v>
      </c>
      <c r="N20" s="9" t="s">
        <v>50</v>
      </c>
    </row>
  </sheetData>
  <mergeCells count="2">
    <mergeCell ref="A2:A9"/>
    <mergeCell ref="A10:A19"/>
  </mergeCells>
  <conditionalFormatting sqref="B1">
    <cfRule type="cellIs" dxfId="0" priority="27" operator="equal">
      <formula>"1级"</formula>
    </cfRule>
    <cfRule type="cellIs" dxfId="1" priority="26" operator="equal">
      <formula>"2级"</formula>
    </cfRule>
    <cfRule type="cellIs" dxfId="2" priority="25" operator="equal">
      <formula>"3级"</formula>
    </cfRule>
  </conditionalFormatting>
  <conditionalFormatting sqref="K1">
    <cfRule type="cellIs" dxfId="3" priority="29" operator="equal">
      <formula>"通过"</formula>
    </cfRule>
    <cfRule type="cellIs" dxfId="4" priority="28" operator="equal">
      <formula>"不通过"</formula>
    </cfRule>
    <cfRule type="cellIs" dxfId="5" priority="24" operator="equal">
      <formula>"阻塞"</formula>
    </cfRule>
  </conditionalFormatting>
  <conditionalFormatting sqref="B2:B20">
    <cfRule type="cellIs" dxfId="6" priority="20" operator="equal">
      <formula>"1级"</formula>
    </cfRule>
    <cfRule type="cellIs" dxfId="2" priority="21" operator="equal">
      <formula>"3级"</formula>
    </cfRule>
    <cfRule type="cellIs" dxfId="1" priority="22" operator="equal">
      <formula>"2级"</formula>
    </cfRule>
    <cfRule type="cellIs" dxfId="0" priority="23" operator="equal">
      <formula>"1级"</formula>
    </cfRule>
  </conditionalFormatting>
  <conditionalFormatting sqref="D2:D20">
    <cfRule type="cellIs" dxfId="7" priority="13" operator="equal">
      <formula>"废弃"</formula>
    </cfRule>
    <cfRule type="cellIs" dxfId="8" priority="14" operator="equal">
      <formula>"更新"</formula>
    </cfRule>
    <cfRule type="cellIs" dxfId="9" priority="15" operator="equal">
      <formula>"优化"</formula>
    </cfRule>
    <cfRule type="cellIs" dxfId="1" priority="16" operator="equal">
      <formula>"新增"</formula>
    </cfRule>
    <cfRule type="cellIs" dxfId="10" priority="17" operator="equal">
      <formula>"IVOC"</formula>
    </cfRule>
    <cfRule type="cellIs" dxfId="11" priority="18" operator="equal">
      <formula>"500/510"</formula>
    </cfRule>
    <cfRule type="cellIs" dxfId="12" priority="19" operator="equal">
      <formula>"500/510/IVOC"</formula>
    </cfRule>
  </conditionalFormatting>
  <conditionalFormatting sqref="E2:E20">
    <cfRule type="cellIs" dxfId="1" priority="7" operator="equal">
      <formula>"是"</formula>
    </cfRule>
    <cfRule type="cellIs" dxfId="13" priority="8" operator="equal">
      <formula>"否"</formula>
    </cfRule>
    <cfRule type="cellIs" dxfId="14" priority="9" operator="equal">
      <formula>"是"</formula>
    </cfRule>
    <cfRule type="cellIs" dxfId="10" priority="10" operator="equal">
      <formula>"IVOC"</formula>
    </cfRule>
    <cfRule type="cellIs" dxfId="11" priority="11" operator="equal">
      <formula>"500/510"</formula>
    </cfRule>
    <cfRule type="cellIs" dxfId="12" priority="12" operator="equal">
      <formula>"500/510/IVOC"</formula>
    </cfRule>
  </conditionalFormatting>
  <conditionalFormatting sqref="K2:K20">
    <cfRule type="cellIs" dxfId="15" priority="1" operator="equal">
      <formula>"堵塞"</formula>
    </cfRule>
    <cfRule type="cellIs" dxfId="4" priority="2" operator="equal">
      <formula>"不通过"</formula>
    </cfRule>
    <cfRule type="cellIs" dxfId="3" priority="3" operator="equal">
      <formula>"通过"</formula>
    </cfRule>
  </conditionalFormatting>
  <dataValidations count="5">
    <dataValidation type="list" allowBlank="1" showInputMessage="1" showErrorMessage="1" sqref="K1">
      <formula1>"通过,不通过,阻塞"</formula1>
    </dataValidation>
    <dataValidation type="list" allowBlank="1" showInputMessage="1" showErrorMessage="1" sqref="B1:B20">
      <formula1>"1级,2级,3级"</formula1>
    </dataValidation>
    <dataValidation type="list" allowBlank="1" showInputMessage="1" showErrorMessage="1" sqref="D2:D20">
      <formula1>"新增,优化,更新,废弃,初始"</formula1>
    </dataValidation>
    <dataValidation type="list" allowBlank="1" showInputMessage="1" showErrorMessage="1" sqref="E1:E20">
      <formula1>"是,否"</formula1>
    </dataValidation>
    <dataValidation type="list" allowBlank="1" showInputMessage="1" showErrorMessage="1" sqref="K2:K20">
      <formula1>"通过,不通过,堵塞"</formula1>
    </dataValidation>
  </dataValidations>
  <hyperlinks>
    <hyperlink ref="O1" location="总目录!A1" display="返回总目录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WPS_1537486535</cp:lastModifiedBy>
  <dcterms:created xsi:type="dcterms:W3CDTF">2025-03-25T01:42:00Z</dcterms:created>
  <dcterms:modified xsi:type="dcterms:W3CDTF">2025-03-25T07:48:13Z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33572FE01F6F49BC92CCB5A6F8A0F53D_13</vt:lpwstr>
  </property>
  <property fmtid="{D5CDD505-2E9C-101B-9397-08002B2CF9AE}" pid="3" name="KSOProductBuildVer">
    <vt:lpwstr>2052-12.1.0.20305</vt:lpwstr>
  </property>
</Properties>
</file>