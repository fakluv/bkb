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activeTab="1"/>
  </bookViews>
  <sheets>
    <sheet name="总目录" sheetId="1" r:id="rId1"/>
    <sheet name="C9" sheetId="4" r:id="rId2"/>
  </sheets>
  <definedNames>
    <definedName name="_xlnm._FilterDatabase" localSheetId="1" hidden="1">'C9'!$A$1:$O$79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<sst xmlns="http://schemas.openxmlformats.org/spreadsheetml/2006/main" count="886" uniqueCount="210">
  <si>
    <t>功能模块</t>
  </si>
  <si>
    <t>总用例</t>
  </si>
  <si>
    <t>通过用例</t>
  </si>
  <si>
    <t>失败用例</t>
  </si>
  <si>
    <t>已执行用例</t>
  </si>
  <si>
    <t>待执行用例</t>
  </si>
  <si>
    <t>堵塞用例</t>
  </si>
  <si>
    <t>已执行通过率</t>
  </si>
  <si>
    <t>跳转</t>
  </si>
  <si>
    <t>C9</t>
  </si>
  <si>
    <t>总共</t>
  </si>
  <si>
    <t>字段名称</t>
  </si>
  <si>
    <t>用例等级</t>
  </si>
  <si>
    <t>用例类型</t>
  </si>
  <si>
    <t>用例状态</t>
  </si>
  <si>
    <t>本版本是否涉及</t>
  </si>
  <si>
    <t>用例编号</t>
  </si>
  <si>
    <t>用例标题</t>
  </si>
  <si>
    <t>前提条件</t>
  </si>
  <si>
    <t>操作步骤</t>
  </si>
  <si>
    <t>预期结果</t>
  </si>
  <si>
    <t>测试结果</t>
  </si>
  <si>
    <t>测试时间</t>
  </si>
  <si>
    <t>测试人员</t>
  </si>
  <si>
    <t>备注</t>
  </si>
  <si>
    <t>返回总目录</t>
  </si>
  <si>
    <t>西二旗停车精度记录</t>
  </si>
  <si>
    <t>1级</t>
  </si>
  <si>
    <t>通用</t>
  </si>
  <si>
    <t>新增</t>
  </si>
  <si>
    <t>是</t>
  </si>
  <si>
    <t>XX车 1端显示西二旗停车精度记录-停车点1</t>
  </si>
  <si>
    <t>vobc与mss连接正常
主控端是1端</t>
  </si>
  <si>
    <t>发送报文 站点0x  00 01
主控端0x11</t>
  </si>
  <si>
    <t>生成XX车 1端西二旗上行停车精度记录</t>
  </si>
  <si>
    <t>通过</t>
  </si>
  <si>
    <t>黄惠萍</t>
  </si>
  <si>
    <t>2025/4/25 测试通过</t>
  </si>
  <si>
    <t>XX车 1端显示西二旗停车精度记录-停车点2</t>
  </si>
  <si>
    <t>XX车 1端显示西二旗停车精度记录-停车点3</t>
  </si>
  <si>
    <t>生成XX车 1端西二旗下行停车精度记录</t>
  </si>
  <si>
    <t>XX车 1端显示西二旗停车精度记录-停车点4</t>
  </si>
  <si>
    <t>XX车 1端显示西二旗停车精度记录-1端主控</t>
  </si>
  <si>
    <t>XX车 2端显示西二旗停车精度记录-2端主控</t>
  </si>
  <si>
    <t>vobc与mss连接正常
主控端是2端</t>
  </si>
  <si>
    <t>发送报文 站点0x  00 01
主控端0x22</t>
  </si>
  <si>
    <t>生成XX车 2端西二旗上行停车精度记录</t>
  </si>
  <si>
    <t>XX车 1端显示西二旗停车精度记录-欠标</t>
  </si>
  <si>
    <t>发送报文 站点0x  00 01
主控端0x11
欠标过标0x55</t>
  </si>
  <si>
    <t>生成XX车 1端西二旗上行停车精度欠标记录</t>
  </si>
  <si>
    <t>XX车 2端显示西二旗停车精度记录-过标</t>
  </si>
  <si>
    <t>发送报文 站点0x  00 01
主控端0x22
欠标过标0xAA</t>
  </si>
  <si>
    <t>生成XX车 2端西二旗上行停车精度过标记录</t>
  </si>
  <si>
    <t>XX车 1端显示西二旗停车精度记录-停车精度记录值0CM</t>
  </si>
  <si>
    <t>生成XX车 1端西二旗上行停车精度记录0cm</t>
  </si>
  <si>
    <t>XX车 1端显示西二旗停车精度记录-停车精度记录值10CM</t>
  </si>
  <si>
    <t>发送报文 站点0x  00 01
停车精度记录值0x 00 0A
欠标过标0x AA
主控端0x11</t>
  </si>
  <si>
    <t>生成XX车 1端西二旗上行停车精度记录10cm,停车精度范围0-10</t>
  </si>
  <si>
    <t>XX车 1端显示西二旗停车精度记录-停车精度记录值20CM</t>
  </si>
  <si>
    <t>发送报文 站点0x  00 01
停车精度记录值0x 00 14
欠标过标0x AA
主控端0x11</t>
  </si>
  <si>
    <t>生成XX车 1端西二旗上行停车精度记录20cm,停车精度范围10-20</t>
  </si>
  <si>
    <t>XX车 1端显示西二旗停车精度记录-停车精度记录值30CM</t>
  </si>
  <si>
    <t>发送报文 站点0x  00 01
停车精度记录值0x 00 1E
欠标过标0x AA
主控端0x11</t>
  </si>
  <si>
    <t>生成XX车 1端西二旗上行停车精度记录30cm,停车精度范围20-30</t>
  </si>
  <si>
    <t>发送报文 站点0x  00 01
停车精度记录值0x 00 32
欠标过标0x AA
主控端0x11</t>
  </si>
  <si>
    <t>生成XX车 1端西二旗上行停车精度记录50cm,停车精度范围30-50</t>
  </si>
  <si>
    <t>XX车 1端显示西二旗停车精度记录-停车精度记录值65534CM</t>
  </si>
  <si>
    <t>发送报文 站点0x  00 01
停车精度记录值0x FF FE
欠标过标0x AA
主控端0x11</t>
  </si>
  <si>
    <t>生成XX车 1端西二旗上行停车精度记录50cm,停车精度范围大于50</t>
  </si>
  <si>
    <t>发送报文 站点0x  00 01
欠标过标0x 55
主控端0x11</t>
  </si>
  <si>
    <t>生成XX车 1端西二旗上行停车精度记录0cm，停车精度范围0-10</t>
  </si>
  <si>
    <t>XX车 1端显示西二旗停车精度记录-停车精度记录值-10CM</t>
  </si>
  <si>
    <t>发送报文 站点0x  00 01
停车精度记录值0x 00 0A
欠标过标0x 55
主控端0x11</t>
  </si>
  <si>
    <t>生成XX车 1端西二旗上行停车精度记录-10cm,停车精度范围-10~0</t>
  </si>
  <si>
    <t>XX车 1端显示西二旗停车精度记录-停车精度记录值-20CM</t>
  </si>
  <si>
    <t>发送报文 站点0x  00 01
停车精度记录值0x 00 14
欠标过标0x 55
主控端0x11</t>
  </si>
  <si>
    <t>生成XX车 1端西二旗上行停车精度记录20cm,停车精度范围-20~-10</t>
  </si>
  <si>
    <t>XX车 1端显示西二旗停车精度记录-停车精度记录值-30CM</t>
  </si>
  <si>
    <t>发送报文 站点0x  00 01
停车精度记录值0x 00 1E
欠标过标0x 55
主控端0x11</t>
  </si>
  <si>
    <t>生成XX车 1端西二旗上行停车精度记录30cm,停车精度范围-30~-20</t>
  </si>
  <si>
    <t>发送报文 站点0x  00 01
停车精度记录值0x 00 32
欠标过标0x 55
主控端0x11</t>
  </si>
  <si>
    <t>生成XX车 1端西二旗上行停车精度记录50cm,停车精度范围-50~-30</t>
  </si>
  <si>
    <t>XX车 1端显示西二旗停车精度记录-停车精度记录值-65534CM</t>
  </si>
  <si>
    <t>发送报文 站点0x  00 01
停车精度记录值0x FF FE
欠标过标0x 55
主控端0x11</t>
  </si>
  <si>
    <t>生成XX车 1端西二旗上行停车精度记录50cm,停车精度范围小于-50</t>
  </si>
  <si>
    <t>XX车 1端显示西二旗停车精度记录-驾驶模式RD</t>
  </si>
  <si>
    <t>发送报文 站点0x  00 01
驾驶模式 0x 00
主控端0x11</t>
  </si>
  <si>
    <t>生成XX车 1端西二旗上行停车精度记录,驾驶模式RD</t>
  </si>
  <si>
    <t>XX车 1端显示西二旗停车精度记录-驾驶模式RM</t>
  </si>
  <si>
    <t>发送报文 站点0x  00 01
驾驶模式 0x 01
主控端0x11</t>
  </si>
  <si>
    <t>生成XX车 1端西二旗上行停车精度记录,驾驶模式RM</t>
  </si>
  <si>
    <t>XX车 1端显示西二旗停车精度记录-驾驶模式CM</t>
  </si>
  <si>
    <t>发送报文 站点0x  00 01
驾驶模式 0x 02
主控端0x11</t>
  </si>
  <si>
    <t>生成XX车 1端西二旗上行停车精度记录,驾驶模式CM</t>
  </si>
  <si>
    <t>XX车 1端显示西二旗停车精度记录-驾驶模式AM</t>
  </si>
  <si>
    <t>发送报文 站点0x  00 01
驾驶模式 0x 03
主控端0x11</t>
  </si>
  <si>
    <t>生成XX车 1端西二旗上行停车精度记录,驾驶模式AM</t>
  </si>
  <si>
    <t>XX车 1端显示西二旗停车精度记录-驾驶模式AR</t>
  </si>
  <si>
    <t>发送报文 站点0x  00 01
驾驶模式 0x 06
主控端0x11</t>
  </si>
  <si>
    <t>生成XX车 1端西二旗上行停车精度记录,驾驶模式AR</t>
  </si>
  <si>
    <t>XX车 1端显示西二旗停车精度记录-驾驶模式FAM</t>
  </si>
  <si>
    <t>发送报文 站点0x  00 01
驾驶模式 0x 07
主控端0x11</t>
  </si>
  <si>
    <t>生成XX车 1端西二旗上行停车精度记录,驾驶模式FAM</t>
  </si>
  <si>
    <t>XX车 1端显示西二旗停车精度记录-驾驶模式CAM</t>
  </si>
  <si>
    <t>发送报文 站点0x  00 01
驾驶模式 0x 08
主控端0x11</t>
  </si>
  <si>
    <t>生成XX车 1端西二旗上行停车精度记录,驾驶模式CAM</t>
  </si>
  <si>
    <t>XX车 1端显示西二旗停车精度记录-驾驶模式RRM</t>
  </si>
  <si>
    <t>发送报文 站点0x  00 01
驾驶模式 0x 09
主控端0x11</t>
  </si>
  <si>
    <t>生成XX车 1端西二旗上行停车精度记录,驾驶模式RRM</t>
  </si>
  <si>
    <t>XX车 2端显示西二旗停车精度记录-驾驶模式RD</t>
  </si>
  <si>
    <t>发送报文 站点0x  00 01
驾驶模式 0x 00
主控端0x22</t>
  </si>
  <si>
    <t>生成XX车 2端西二旗上行停车精度记录,驾驶模式RD</t>
  </si>
  <si>
    <t>XX车 2端显示西二旗停车精度记录-驾驶模式RM</t>
  </si>
  <si>
    <t>发送报文 站点0x  00 01
驾驶模式 0x 01
主控端0x22</t>
  </si>
  <si>
    <t>生成XX车 2端西二旗上行停车精度记录,驾驶模式RM</t>
  </si>
  <si>
    <t>XX车 2端显示西二旗停车精度记录-驾驶模式CM</t>
  </si>
  <si>
    <t>发送报文 站点0x  00 01
驾驶模式 0x 02
主控端0x22</t>
  </si>
  <si>
    <t>生成XX车 2端西二旗上行停车精度记录,驾驶模式CM</t>
  </si>
  <si>
    <t>XX车 2端显示西二旗停车精度记录-驾驶模式AM</t>
  </si>
  <si>
    <t>发送报文 站点0x  00 01
驾驶模式 0x 03
主控端0x22</t>
  </si>
  <si>
    <t>生成XX车 2端西二旗上行停车精度记录,驾驶模式AM</t>
  </si>
  <si>
    <t>XX车 2端显示西二旗停车精度记录-驾驶模式AR</t>
  </si>
  <si>
    <t>发送报文 站点0x  00 01
驾驶模式 0x 06
主控端0x22</t>
  </si>
  <si>
    <t>生成XX车 2端西二旗上行停车精度记录,驾驶模式AR</t>
  </si>
  <si>
    <t>XX车 2端显示西二旗停车精度记录-驾驶模式FAM</t>
  </si>
  <si>
    <t>发送报文 站点0x  00 01
驾驶模式 0x 07
主控端0x22</t>
  </si>
  <si>
    <t>生成XX车 2端西二旗上行停车精度记录,驾驶模式FAM</t>
  </si>
  <si>
    <t>XX车 2端显示西二旗停车精度记录-驾驶模式CAM</t>
  </si>
  <si>
    <t>发送报文 站点0x  00 01
驾驶模式 0x 08
主控端0x22</t>
  </si>
  <si>
    <t>生成XX车 2端西二旗上行停车精度记录,驾驶模式CAM</t>
  </si>
  <si>
    <t>XX车 2端显示西二旗停车精度记录-驾驶模式RRM</t>
  </si>
  <si>
    <t>发送报文 站点0x  00 01
驾驶模式 0x 09
主控端0x22</t>
  </si>
  <si>
    <t>生成XX车 2端西二旗上行停车精度记录,驾驶模式RRM</t>
  </si>
  <si>
    <t>XX车 1端显示西二旗停车精度记录-自动驾驶</t>
  </si>
  <si>
    <t>发送报文 站点0x  00 01
驾驶模式：AR/FAM/CAM/AM
主控端0x11</t>
  </si>
  <si>
    <t>XX车 1端显示西二旗停车精度记录-人工驾驶</t>
  </si>
  <si>
    <t>发送报文 站点0x  00 01
驾驶模式：RD/RM/RRM/CM
主控端0x11</t>
  </si>
  <si>
    <t>XX车 2端显示西二旗停车精度记录-自动驾驶</t>
  </si>
  <si>
    <t>发送报文 站点0x  00 01
驾驶模式：AR/FAM/CAM/AM
主控端0x22</t>
  </si>
  <si>
    <t>XX车 2端显示西二旗停车精度记录-人工驾驶</t>
  </si>
  <si>
    <t>发送报文 站点0x  00 01
驾驶模式：RD/RM/RRM/CM
主控端0x22</t>
  </si>
  <si>
    <t>其他站点如昌平站停车精度记录</t>
  </si>
  <si>
    <t>XX车 1端显示昌平站停车精度记录-停车点44</t>
  </si>
  <si>
    <t>生成XX车 1端昌平站上行停车精度记录</t>
  </si>
  <si>
    <t>XX车 1端显示昌平站停车精度记录-停车点45</t>
  </si>
  <si>
    <t>生成XX车 1端昌平站下行停车精度记录</t>
  </si>
  <si>
    <t>XX车 1端显示昌平站停车精度记录-1端主控</t>
  </si>
  <si>
    <t>XX车 2端显示昌平站停车精度记录-2端主控</t>
  </si>
  <si>
    <t>生成XX车 2端昌平站上行停车精度记录</t>
  </si>
  <si>
    <t>XX车 1端显示昌平站停车精度记录-欠标</t>
  </si>
  <si>
    <t>生成XX车 1端昌平站上行停车精度欠标记录</t>
  </si>
  <si>
    <t>XX车 2端显示昌平站停车精度记录-过标</t>
  </si>
  <si>
    <t>生成XX车 2端昌平站上行停车精度过标记录</t>
  </si>
  <si>
    <t>XX车 1端显示昌平站停车精度记录-停车精度记录值0CM</t>
  </si>
  <si>
    <t>生成XX车 1端昌平站上行停车精度记录0cm</t>
  </si>
  <si>
    <t>XX车 1端显示昌平站停车精度记录-停车精度记录值10CM</t>
  </si>
  <si>
    <t>生成XX车 1端昌平站上行停车精度记录10cm,停车精度范围0-10</t>
  </si>
  <si>
    <t>XX车 1端显示昌平站停车精度记录-停车精度记录值20CM</t>
  </si>
  <si>
    <t>生成XX车 1端昌平站上行停车精度记录20cm,停车精度范围10-20</t>
  </si>
  <si>
    <t>XX车 1端显示昌平站停车精度记录-停车精度记录值30CM</t>
  </si>
  <si>
    <t>生成XX车 1端昌平站上行停车精度记录30cm,停车精度范围20-30</t>
  </si>
  <si>
    <t>生成XX车 1端昌平站上行停车精度记录50cm,停车精度范围30-50</t>
  </si>
  <si>
    <t>XX车 1端显示昌平站停车精度记录-停车精度记录值65534CM</t>
  </si>
  <si>
    <t>生成XX车 1端昌平站上行停车精度记录50cm,停车精度范围大于50</t>
  </si>
  <si>
    <t>生成XX车 1端昌平站上行停车精度记录0cm，停车精度范围0-10</t>
  </si>
  <si>
    <t>XX车 1端显示昌平站停车精度记录-停车精度记录值-10CM</t>
  </si>
  <si>
    <t>生成XX车 1端昌平站上行停车精度记录-10cm,停车精度范围-10~0</t>
  </si>
  <si>
    <t>XX车 1端显示昌平站停车精度记录-停车精度记录值-20CM</t>
  </si>
  <si>
    <t>生成XX车 1端昌平站上行停车精度记录20cm,停车精度范围-20~-10</t>
  </si>
  <si>
    <t>XX车 1端显示昌平站停车精度记录-停车精度记录值-30CM</t>
  </si>
  <si>
    <t>生成XX车 1端昌平站上行停车精度记录30cm,停车精度范围-30~-20</t>
  </si>
  <si>
    <t>生成XX车 1端昌平站上行停车精度记录50cm,停车精度范围-50~-30</t>
  </si>
  <si>
    <t>XX车 1端显示昌平站停车精度记录-停车精度记录值-65534CM</t>
  </si>
  <si>
    <t>生成XX车 1端昌平站上行停车精度记录50cm,停车精度范围小于-50</t>
  </si>
  <si>
    <t>XX车 1端显示昌平站停车精度记录-驾驶模式RD</t>
  </si>
  <si>
    <t>生成XX车 1端昌平站上行停车精度记录,驾驶模式RD</t>
  </si>
  <si>
    <t>XX车 1端显示昌平站停车精度记录-驾驶模式RM</t>
  </si>
  <si>
    <t>生成XX车 1端昌平站上行停车精度记录,驾驶模式RM</t>
  </si>
  <si>
    <t>XX车 1端显示昌平站停车精度记录-驾驶模式CM</t>
  </si>
  <si>
    <t>生成XX车 1端昌平站上行停车精度记录,驾驶模式CM</t>
  </si>
  <si>
    <t>XX车 1端显示昌平站停车精度记录-驾驶模式AM</t>
  </si>
  <si>
    <t>生成XX车 1端昌平站上行停车精度记录,驾驶模式AM</t>
  </si>
  <si>
    <t>XX车 1端显示昌平站停车精度记录-驾驶模式AR</t>
  </si>
  <si>
    <t>生成XX车 1端昌平站上行停车精度记录,驾驶模式AR</t>
  </si>
  <si>
    <t>XX车 1端显示昌平站停车精度记录-驾驶模式FAM</t>
  </si>
  <si>
    <t>生成XX车 1端昌平站上行停车精度记录,驾驶模式FAM</t>
  </si>
  <si>
    <t>XX车 1端显示昌平站停车精度记录-驾驶模式CAM</t>
  </si>
  <si>
    <t>生成XX车 1端昌平站上行停车精度记录,驾驶模式CAM</t>
  </si>
  <si>
    <t>XX车 1端显示昌平站停车精度记录-驾驶模式RRM</t>
  </si>
  <si>
    <t>生成XX车 1端昌平站上行停车精度记录,驾驶模式RRM</t>
  </si>
  <si>
    <t>XX车 2端显示昌平站停车精度记录-驾驶模式RD</t>
  </si>
  <si>
    <t>生成XX车 2端昌平站上行停车精度记录,驾驶模式RD</t>
  </si>
  <si>
    <t>XX车 2端显示昌平站停车精度记录-驾驶模式RM</t>
  </si>
  <si>
    <t>生成XX车 2端昌平站上行停车精度记录,驾驶模式RM</t>
  </si>
  <si>
    <t>XX车 2端显示昌平站停车精度记录-驾驶模式CM</t>
  </si>
  <si>
    <t>生成XX车 2端昌平站上行停车精度记录,驾驶模式CM</t>
  </si>
  <si>
    <t>XX车 2端显示昌平站停车精度记录-驾驶模式AM</t>
  </si>
  <si>
    <t>生成XX车 2端昌平站上行停车精度记录,驾驶模式AM</t>
  </si>
  <si>
    <t>XX车 2端显示昌平站停车精度记录-驾驶模式AR</t>
  </si>
  <si>
    <t>生成XX车 2端昌平站上行停车精度记录,驾驶模式AR</t>
  </si>
  <si>
    <t>XX车 2端显示昌平站停车精度记录-驾驶模式FAM</t>
  </si>
  <si>
    <t>生成XX车 2端昌平站上行停车精度记录,驾驶模式FAM</t>
  </si>
  <si>
    <t>XX车 2端显示昌平站停车精度记录-驾驶模式CAM</t>
  </si>
  <si>
    <t>生成XX车 2端昌平站上行停车精度记录,驾驶模式CAM</t>
  </si>
  <si>
    <t>XX车 2端显示昌平站停车精度记录-驾驶模式RRM</t>
  </si>
  <si>
    <t>生成XX车 2端昌平站上行停车精度记录,驾驶模式RRM</t>
  </si>
  <si>
    <t>XX车 1端显示昌平站停车精度记录-自动驾驶</t>
  </si>
  <si>
    <t>XX车 1端显示昌平站停车精度记录-人工驾驶</t>
  </si>
  <si>
    <t>XX车 2端显示昌平站停车精度记录-自动驾驶</t>
  </si>
  <si>
    <t>XX车 2端显示昌平站停车精度记录-人工驾驶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</si>
</sst>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sz val="11"/>
      <color theme="1"/>
      <name val="等线"/>
      <charset val="134"/>
    </font>
    <font>
      <sz val="11"/>
      <color theme="1"/>
      <name val="宋体"/>
      <charset val="134"/>
    </font>
    <font>
      <sz val="11"/>
      <color rgb="FF800080"/>
      <name val="等线"/>
      <charset val="134"/>
      <scheme val="minor"/>
    </font>
    <font>
      <sz val="12"/>
      <name val="宋体"/>
      <charset val="134"/>
    </font>
    <font>
      <u/>
      <sz val="11"/>
      <color rgb="FF800080"/>
      <name val="等线"/>
      <charset val="134"/>
      <scheme val="minor"/>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xf numFmtId="0" fontId="7" fillId="0" borderId="0" applyNumberFormat="0" applyFill="0" applyBorder="0" applyAlignment="0" applyProtection="0">
      <alignment vertical="center"/>
    </xf>
    <xf numFmtId="0" fontId="0" fillId="2"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3" borderId="8" applyNumberFormat="0" applyAlignment="0" applyProtection="0">
      <alignment vertical="center"/>
    </xf>
    <xf numFmtId="0" fontId="15" fillId="4" borderId="9" applyNumberFormat="0" applyAlignment="0" applyProtection="0">
      <alignment vertical="center"/>
    </xf>
    <xf numFmtId="0" fontId="16" fillId="4" borderId="8" applyNumberFormat="0" applyAlignment="0" applyProtection="0">
      <alignment vertical="center"/>
    </xf>
    <xf numFmtId="0" fontId="17" fillId="5"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21">
    <xf numFmtId="0" fontId="0" fillId="0" borderId="0" xfId="0"/>
    <xf numFmtId="0" fontId="0" fillId="0" borderId="0" xfId="0"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1" fillId="0" borderId="1" xfId="0" applyFont="1" applyFill="1" applyBorder="1" applyAlignment="1">
      <alignment horizontal="center" vertical="center" wrapText="1"/>
    </xf>
    <xf numFmtId="0" fontId="0" fillId="0" borderId="2" xfId="0" applyBorder="1" applyAlignment="1">
      <alignment horizontal="center" vertical="center" wrapText="1"/>
    </xf>
    <xf numFmtId="0" fontId="2" fillId="0" borderId="1" xfId="0" applyFont="1" applyFill="1" applyBorder="1" applyAlignment="1">
      <alignment horizontal="center" vertical="center" wrapText="1"/>
    </xf>
    <xf numFmtId="0" fontId="0" fillId="0" borderId="3" xfId="0" applyBorder="1" applyAlignment="1">
      <alignment horizontal="center" vertical="center" wrapText="1"/>
    </xf>
    <xf numFmtId="0" fontId="0" fillId="0" borderId="1" xfId="0" applyFont="1" applyFill="1" applyBorder="1" applyAlignment="1">
      <alignment horizontal="center" vertical="center" wrapText="1"/>
    </xf>
    <xf numFmtId="0" fontId="3" fillId="0" borderId="0" xfId="6" applyFont="1" applyAlignment="1">
      <alignment vertical="center" wrapText="1"/>
    </xf>
    <xf numFmtId="14" fontId="0" fillId="0" borderId="1" xfId="0" applyNumberFormat="1" applyFont="1"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0" xfId="0" applyFont="1" applyFill="1" applyAlignment="1">
      <alignment vertical="center" wrapText="1"/>
    </xf>
    <xf numFmtId="0" fontId="0" fillId="0" borderId="4" xfId="0" applyBorder="1" applyAlignment="1">
      <alignment horizontal="center" vertical="center" wrapText="1"/>
    </xf>
    <xf numFmtId="0" fontId="4" fillId="0" borderId="0" xfId="0" applyFont="1" applyFill="1" applyAlignment="1">
      <alignment vertical="center"/>
    </xf>
    <xf numFmtId="0" fontId="0" fillId="0" borderId="0" xfId="0" applyAlignment="1">
      <alignment horizontal="center" vertical="center"/>
    </xf>
    <xf numFmtId="10" fontId="0" fillId="0" borderId="0" xfId="0" applyNumberFormat="1" applyAlignment="1">
      <alignment horizontal="center" vertical="center"/>
    </xf>
    <xf numFmtId="0" fontId="1" fillId="0" borderId="0" xfId="0" applyFont="1" applyFill="1" applyBorder="1" applyAlignment="1">
      <alignment horizontal="center" vertical="center"/>
    </xf>
    <xf numFmtId="10" fontId="1" fillId="0" borderId="0" xfId="0" applyNumberFormat="1" applyFont="1" applyFill="1" applyBorder="1" applyAlignment="1">
      <alignment horizontal="center" vertical="center"/>
    </xf>
    <xf numFmtId="0" fontId="5" fillId="0" borderId="0" xfId="6"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4">
    <dxf>
      <fill>
        <patternFill patternType="solid">
          <bgColor theme="3" tint="0.6"/>
        </patternFill>
      </fill>
    </dxf>
    <dxf>
      <fill>
        <patternFill patternType="solid">
          <bgColor theme="5" tint="0.6"/>
        </patternFill>
      </fill>
    </dxf>
    <dxf>
      <fill>
        <patternFill patternType="solid">
          <bgColor theme="4" tint="0.6"/>
        </patternFill>
      </fill>
    </dxf>
    <dxf>
      <fill>
        <patternFill patternType="solid">
          <bgColor theme="7" tint="0.599993896298105"/>
        </patternFill>
      </fill>
    </dxf>
    <dxf>
      <fill>
        <patternFill patternType="solid">
          <bgColor rgb="FFFCE4D6"/>
        </patternFill>
      </fill>
    </dxf>
    <dxf>
      <fill>
        <patternFill patternType="solid">
          <bgColor rgb="FFF8CBAD"/>
        </patternFill>
      </fill>
    </dxf>
    <dxf>
      <fill>
        <patternFill patternType="solid">
          <bgColor rgb="FFF4B084"/>
        </patternFill>
      </fill>
    </dxf>
    <dxf>
      <font>
        <color rgb="FF006100"/>
      </font>
      <fill>
        <patternFill patternType="solid">
          <bgColor rgb="FFC6EFCE"/>
        </patternFill>
      </fill>
    </dxf>
    <dxf>
      <fill>
        <patternFill patternType="solid">
          <bgColor theme="0" tint="-0.25"/>
        </patternFill>
      </fill>
    </dxf>
    <dxf>
      <fill>
        <patternFill patternType="solid">
          <bgColor theme="7" tint="-0.25"/>
        </patternFill>
      </fill>
    </dxf>
    <dxf>
      <font>
        <color rgb="FF9C0006"/>
      </font>
      <fill>
        <patternFill patternType="solid">
          <bgColor rgb="FFFFC7CE"/>
        </patternFill>
      </fill>
    </dxf>
    <dxf>
      <font>
        <color rgb="FF9C6500"/>
      </font>
      <fill>
        <patternFill patternType="solid">
          <bgColor rgb="FFFFEB9C"/>
        </patternFill>
      </fill>
    </dxf>
    <dxf>
      <fill>
        <patternFill patternType="solid">
          <bgColor theme="7" tint="0.399945066682943"/>
        </patternFill>
      </fill>
    </dxf>
    <dxf>
      <fill>
        <patternFill patternType="solid">
          <bgColor theme="7" tint="0.79995117038483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
  <sheetViews>
    <sheetView workbookViewId="0">
      <selection activeCell="I17" sqref="I17"/>
    </sheetView>
  </sheetViews>
  <sheetFormatPr defaultColWidth="9" defaultRowHeight="14.25" outlineLevelRow="3"/>
  <cols>
    <col min="1" max="1" width="35.875" style="16" customWidth="1"/>
    <col min="2" max="4" width="9" style="16"/>
    <col min="5" max="5" width="11" style="16" customWidth="1"/>
    <col min="6" max="6" width="10.875" style="17" customWidth="1"/>
    <col min="7" max="7" width="11" style="16" customWidth="1"/>
    <col min="8" max="8" width="12.875" style="16" customWidth="1"/>
    <col min="9" max="16384" width="9" style="16"/>
  </cols>
  <sheetData>
    <row r="1" s="15" customFormat="1" spans="1:9">
      <c r="A1" s="18" t="s">
        <v>0</v>
      </c>
      <c r="B1" s="18" t="s">
        <v>1</v>
      </c>
      <c r="C1" s="18" t="s">
        <v>2</v>
      </c>
      <c r="D1" s="18" t="s">
        <v>3</v>
      </c>
      <c r="E1" s="18" t="s">
        <v>4</v>
      </c>
      <c r="F1" s="18" t="s">
        <v>5</v>
      </c>
      <c r="G1" s="18" t="s">
        <v>6</v>
      </c>
      <c r="H1" s="19" t="s">
        <v>7</v>
      </c>
      <c r="I1" s="18" t="s">
        <v>8</v>
      </c>
    </row>
    <row r="2" spans="1:9">
      <c r="A2" s="16" t="s">
        <v>9</v>
      </c>
      <c r="B2" s="18">
        <f ca="1">COUNTIF(INDIRECT(A2&amp;"!F2:F998"),"&lt;&gt;")</f>
        <v>78</v>
      </c>
      <c r="C2" s="18">
        <f ca="1">COUNTIF(INDIRECT(A2&amp;"!k2:k998"),"通过")</f>
        <v>78</v>
      </c>
      <c r="D2" s="18">
        <f ca="1">COUNTIF(INDIRECT(A2&amp;"!k2:k998"),"不通过")</f>
        <v>0</v>
      </c>
      <c r="E2" s="18">
        <f ca="1">C2+D2</f>
        <v>78</v>
      </c>
      <c r="F2" s="18">
        <f ca="1">B2-C2-D2</f>
        <v>0</v>
      </c>
      <c r="G2" s="18">
        <f ca="1">COUNTIF(INDIRECT(A2&amp;"!K2:K998"),"堵塞")</f>
        <v>0</v>
      </c>
      <c r="H2" s="19">
        <f ca="1">C2/E2</f>
        <v>1</v>
      </c>
      <c r="I2" s="20" t="str">
        <f>HYPERLINK("#"&amp;A2&amp;"!a1","详情")</f>
        <v>详情</v>
      </c>
    </row>
    <row r="3" spans="6:8">
      <c r="F3" s="16"/>
      <c r="H3" s="17"/>
    </row>
    <row r="4" spans="1:8">
      <c r="A4" s="16" t="s">
        <v>10</v>
      </c>
      <c r="B4" s="16">
        <f ca="1" t="shared" ref="B4:G4" si="0">SUM(B2:B3)</f>
        <v>78</v>
      </c>
      <c r="C4" s="16">
        <f ca="1" t="shared" si="0"/>
        <v>78</v>
      </c>
      <c r="D4" s="16">
        <f ca="1" t="shared" si="0"/>
        <v>0</v>
      </c>
      <c r="E4" s="16">
        <f ca="1" t="shared" si="0"/>
        <v>78</v>
      </c>
      <c r="F4" s="16">
        <f ca="1" t="shared" si="0"/>
        <v>0</v>
      </c>
      <c r="G4" s="16">
        <f ca="1" t="shared" si="0"/>
        <v>0</v>
      </c>
      <c r="H4" s="17">
        <f ca="1">C4/E4</f>
        <v>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9"/>
  <sheetViews>
    <sheetView tabSelected="1" workbookViewId="0">
      <pane ySplit="1" topLeftCell="A76" activePane="bottomLeft" state="frozen"/>
      <selection/>
      <selection pane="bottomLeft" activeCell="I86" sqref="I86"/>
    </sheetView>
  </sheetViews>
  <sheetFormatPr defaultColWidth="9" defaultRowHeight="14.25"/>
  <cols>
    <col min="1" max="1" width="15.875" style="2" customWidth="1"/>
    <col min="2" max="2" width="9.5" style="2" customWidth="1"/>
    <col min="3" max="5" width="10" style="2" customWidth="1"/>
    <col min="6" max="6" width="18.75" style="2" customWidth="1"/>
    <col min="7" max="7" width="32" style="3" customWidth="1"/>
    <col min="8" max="8" width="22.625" style="4" customWidth="1"/>
    <col min="9" max="9" width="41.75" style="4" customWidth="1"/>
    <col min="10" max="10" width="47" style="3" customWidth="1"/>
    <col min="11" max="11" width="10.75" style="2" customWidth="1"/>
    <col min="12" max="12" width="11.625" style="1" customWidth="1"/>
    <col min="13" max="13" width="9" style="1"/>
    <col min="14" max="14" width="19.375" style="1" customWidth="1"/>
    <col min="15" max="16384" width="9" style="1"/>
  </cols>
  <sheetData>
    <row r="1" ht="28.5" spans="1:15">
      <c r="A1" s="2" t="s">
        <v>11</v>
      </c>
      <c r="B1" s="2" t="s">
        <v>12</v>
      </c>
      <c r="C1" s="2" t="s">
        <v>13</v>
      </c>
      <c r="D1" s="5" t="s">
        <v>14</v>
      </c>
      <c r="E1" s="5" t="s">
        <v>15</v>
      </c>
      <c r="F1" s="2" t="s">
        <v>16</v>
      </c>
      <c r="G1" s="2" t="s">
        <v>17</v>
      </c>
      <c r="H1" s="2" t="s">
        <v>18</v>
      </c>
      <c r="I1" s="2" t="s">
        <v>19</v>
      </c>
      <c r="J1" s="2" t="s">
        <v>20</v>
      </c>
      <c r="K1" s="2" t="s">
        <v>21</v>
      </c>
      <c r="L1" s="9" t="s">
        <v>22</v>
      </c>
      <c r="M1" s="9" t="s">
        <v>23</v>
      </c>
      <c r="N1" s="9" t="s">
        <v>24</v>
      </c>
      <c r="O1" s="10" t="s">
        <v>25</v>
      </c>
    </row>
    <row r="2" ht="28.5" spans="1:15">
      <c r="A2" s="6" t="s">
        <v>26</v>
      </c>
      <c r="B2" s="2" t="s">
        <v>27</v>
      </c>
      <c r="C2" s="2" t="s">
        <v>28</v>
      </c>
      <c r="D2" s="7" t="s">
        <v>29</v>
      </c>
      <c r="E2" s="7" t="s">
        <v>30</v>
      </c>
      <c r="F2" s="3" t="str">
        <f t="shared" ref="F2:F65" si="0">"vobc_16.6_"&amp;ROW()-1</f>
        <v>vobc_16.6_1</v>
      </c>
      <c r="G2" s="3" t="s">
        <v>31</v>
      </c>
      <c r="H2" s="3" t="s">
        <v>32</v>
      </c>
      <c r="I2" s="4" t="s">
        <v>33</v>
      </c>
      <c r="J2" s="3" t="s">
        <v>34</v>
      </c>
      <c r="K2" s="2" t="s">
        <v>35</v>
      </c>
      <c r="L2" s="11">
        <v>45772</v>
      </c>
      <c r="M2" s="9" t="s">
        <v>36</v>
      </c>
      <c r="N2" s="12" t="s">
        <v>37</v>
      </c>
      <c r="O2" s="13"/>
    </row>
    <row r="3" ht="28.5" spans="1:15">
      <c r="A3" s="8"/>
      <c r="B3" s="2" t="s">
        <v>27</v>
      </c>
      <c r="C3" s="2" t="s">
        <v>28</v>
      </c>
      <c r="D3" s="7" t="s">
        <v>29</v>
      </c>
      <c r="E3" s="7" t="s">
        <v>30</v>
      </c>
      <c r="F3" s="3" t="str">
        <f t="shared" si="0"/>
        <v>vobc_16.6_2</v>
      </c>
      <c r="G3" s="3" t="s">
        <v>38</v>
      </c>
      <c r="H3" s="3" t="s">
        <v>32</v>
      </c>
      <c r="I3" s="4" t="s">
        <v>33</v>
      </c>
      <c r="J3" s="3" t="s">
        <v>34</v>
      </c>
      <c r="K3" s="2" t="s">
        <v>35</v>
      </c>
      <c r="L3" s="11">
        <v>45772</v>
      </c>
      <c r="M3" s="9" t="s">
        <v>36</v>
      </c>
      <c r="N3" s="12" t="s">
        <v>37</v>
      </c>
      <c r="O3" s="13"/>
    </row>
    <row r="4" ht="28.5" spans="1:15">
      <c r="A4" s="8"/>
      <c r="B4" s="2" t="s">
        <v>27</v>
      </c>
      <c r="C4" s="2" t="s">
        <v>28</v>
      </c>
      <c r="D4" s="7" t="s">
        <v>29</v>
      </c>
      <c r="E4" s="7" t="s">
        <v>30</v>
      </c>
      <c r="F4" s="3" t="str">
        <f t="shared" si="0"/>
        <v>vobc_16.6_3</v>
      </c>
      <c r="G4" s="3" t="s">
        <v>39</v>
      </c>
      <c r="H4" s="3" t="s">
        <v>32</v>
      </c>
      <c r="I4" s="4" t="s">
        <v>33</v>
      </c>
      <c r="J4" s="3" t="s">
        <v>40</v>
      </c>
      <c r="K4" s="2" t="s">
        <v>35</v>
      </c>
      <c r="L4" s="11">
        <v>45772</v>
      </c>
      <c r="M4" s="9" t="s">
        <v>36</v>
      </c>
      <c r="N4" s="12" t="s">
        <v>37</v>
      </c>
      <c r="O4" s="13"/>
    </row>
    <row r="5" ht="28.5" spans="1:15">
      <c r="A5" s="8"/>
      <c r="B5" s="2" t="s">
        <v>27</v>
      </c>
      <c r="C5" s="2" t="s">
        <v>28</v>
      </c>
      <c r="D5" s="7" t="s">
        <v>29</v>
      </c>
      <c r="E5" s="7" t="s">
        <v>30</v>
      </c>
      <c r="F5" s="3" t="str">
        <f t="shared" si="0"/>
        <v>vobc_16.6_4</v>
      </c>
      <c r="G5" s="3" t="s">
        <v>41</v>
      </c>
      <c r="H5" s="3" t="s">
        <v>32</v>
      </c>
      <c r="I5" s="4" t="s">
        <v>33</v>
      </c>
      <c r="J5" s="3" t="s">
        <v>40</v>
      </c>
      <c r="K5" s="2" t="s">
        <v>35</v>
      </c>
      <c r="L5" s="11">
        <v>45772</v>
      </c>
      <c r="M5" s="9" t="s">
        <v>36</v>
      </c>
      <c r="N5" s="12" t="s">
        <v>37</v>
      </c>
      <c r="O5" s="13"/>
    </row>
    <row r="6" ht="28.5" spans="1:15">
      <c r="A6" s="8"/>
      <c r="B6" s="2" t="s">
        <v>27</v>
      </c>
      <c r="C6" s="2" t="s">
        <v>28</v>
      </c>
      <c r="D6" s="7" t="s">
        <v>29</v>
      </c>
      <c r="E6" s="7" t="s">
        <v>30</v>
      </c>
      <c r="F6" s="3" t="str">
        <f t="shared" si="0"/>
        <v>vobc_16.6_5</v>
      </c>
      <c r="G6" s="3" t="s">
        <v>42</v>
      </c>
      <c r="H6" s="3" t="s">
        <v>32</v>
      </c>
      <c r="I6" s="4" t="s">
        <v>33</v>
      </c>
      <c r="J6" s="3" t="s">
        <v>34</v>
      </c>
      <c r="K6" s="2" t="s">
        <v>35</v>
      </c>
      <c r="L6" s="11">
        <v>45772</v>
      </c>
      <c r="M6" s="9" t="s">
        <v>36</v>
      </c>
      <c r="N6" s="12" t="s">
        <v>37</v>
      </c>
      <c r="O6" s="13"/>
    </row>
    <row r="7" ht="28.5" spans="1:15">
      <c r="A7" s="8"/>
      <c r="B7" s="2" t="s">
        <v>27</v>
      </c>
      <c r="C7" s="2" t="s">
        <v>28</v>
      </c>
      <c r="D7" s="7" t="s">
        <v>29</v>
      </c>
      <c r="E7" s="7" t="s">
        <v>30</v>
      </c>
      <c r="F7" s="3" t="str">
        <f t="shared" si="0"/>
        <v>vobc_16.6_6</v>
      </c>
      <c r="G7" s="3" t="s">
        <v>43</v>
      </c>
      <c r="H7" s="3" t="s">
        <v>44</v>
      </c>
      <c r="I7" s="4" t="s">
        <v>45</v>
      </c>
      <c r="J7" s="3" t="s">
        <v>46</v>
      </c>
      <c r="K7" s="2" t="s">
        <v>35</v>
      </c>
      <c r="L7" s="11">
        <v>45772</v>
      </c>
      <c r="M7" s="9" t="s">
        <v>36</v>
      </c>
      <c r="N7" s="12" t="s">
        <v>37</v>
      </c>
      <c r="O7" s="13"/>
    </row>
    <row r="8" ht="42.75" spans="1:15">
      <c r="A8" s="8"/>
      <c r="B8" s="2" t="s">
        <v>27</v>
      </c>
      <c r="C8" s="2" t="s">
        <v>28</v>
      </c>
      <c r="D8" s="7" t="s">
        <v>29</v>
      </c>
      <c r="E8" s="7" t="s">
        <v>30</v>
      </c>
      <c r="F8" s="3" t="str">
        <f t="shared" si="0"/>
        <v>vobc_16.6_7</v>
      </c>
      <c r="G8" s="3" t="s">
        <v>47</v>
      </c>
      <c r="H8" s="3" t="s">
        <v>32</v>
      </c>
      <c r="I8" s="4" t="s">
        <v>48</v>
      </c>
      <c r="J8" s="3" t="s">
        <v>49</v>
      </c>
      <c r="K8" s="2" t="s">
        <v>35</v>
      </c>
      <c r="L8" s="11">
        <v>45772</v>
      </c>
      <c r="M8" s="9" t="s">
        <v>36</v>
      </c>
      <c r="N8" s="12" t="s">
        <v>37</v>
      </c>
      <c r="O8" s="13"/>
    </row>
    <row r="9" ht="42.75" spans="1:15">
      <c r="A9" s="8"/>
      <c r="B9" s="2" t="s">
        <v>27</v>
      </c>
      <c r="C9" s="2" t="s">
        <v>28</v>
      </c>
      <c r="D9" s="7" t="s">
        <v>29</v>
      </c>
      <c r="E9" s="7" t="s">
        <v>30</v>
      </c>
      <c r="F9" s="3" t="str">
        <f t="shared" si="0"/>
        <v>vobc_16.6_8</v>
      </c>
      <c r="G9" s="3" t="s">
        <v>50</v>
      </c>
      <c r="H9" s="3" t="s">
        <v>44</v>
      </c>
      <c r="I9" s="4" t="s">
        <v>51</v>
      </c>
      <c r="J9" s="3" t="s">
        <v>52</v>
      </c>
      <c r="K9" s="2" t="s">
        <v>35</v>
      </c>
      <c r="L9" s="11">
        <v>45772</v>
      </c>
      <c r="M9" s="9" t="s">
        <v>36</v>
      </c>
      <c r="N9" s="12" t="s">
        <v>37</v>
      </c>
      <c r="O9" s="13"/>
    </row>
    <row r="10" ht="28.5" spans="1:15">
      <c r="A10" s="8"/>
      <c r="B10" s="2" t="s">
        <v>27</v>
      </c>
      <c r="C10" s="2" t="s">
        <v>28</v>
      </c>
      <c r="D10" s="7" t="s">
        <v>29</v>
      </c>
      <c r="E10" s="7" t="s">
        <v>30</v>
      </c>
      <c r="F10" s="3" t="str">
        <f t="shared" si="0"/>
        <v>vobc_16.6_9</v>
      </c>
      <c r="G10" s="3" t="s">
        <v>53</v>
      </c>
      <c r="H10" s="3" t="s">
        <v>32</v>
      </c>
      <c r="I10" s="4" t="s">
        <v>33</v>
      </c>
      <c r="J10" s="3" t="s">
        <v>54</v>
      </c>
      <c r="K10" s="2" t="s">
        <v>35</v>
      </c>
      <c r="L10" s="11">
        <v>45772</v>
      </c>
      <c r="M10" s="9" t="s">
        <v>36</v>
      </c>
      <c r="N10" s="12" t="s">
        <v>37</v>
      </c>
      <c r="O10" s="13"/>
    </row>
    <row r="11" ht="57" spans="1:15">
      <c r="A11" s="8"/>
      <c r="B11" s="2" t="s">
        <v>27</v>
      </c>
      <c r="C11" s="2" t="s">
        <v>28</v>
      </c>
      <c r="D11" s="7" t="s">
        <v>29</v>
      </c>
      <c r="E11" s="7" t="s">
        <v>30</v>
      </c>
      <c r="F11" s="3" t="str">
        <f t="shared" si="0"/>
        <v>vobc_16.6_10</v>
      </c>
      <c r="G11" s="3" t="s">
        <v>55</v>
      </c>
      <c r="H11" s="3" t="s">
        <v>32</v>
      </c>
      <c r="I11" s="4" t="s">
        <v>56</v>
      </c>
      <c r="J11" s="3" t="s">
        <v>57</v>
      </c>
      <c r="K11" s="2" t="s">
        <v>35</v>
      </c>
      <c r="L11" s="11">
        <v>45772</v>
      </c>
      <c r="M11" s="9" t="s">
        <v>36</v>
      </c>
      <c r="N11" s="12" t="s">
        <v>37</v>
      </c>
      <c r="O11" s="13"/>
    </row>
    <row r="12" ht="57" spans="1:15">
      <c r="A12" s="8"/>
      <c r="B12" s="2" t="s">
        <v>27</v>
      </c>
      <c r="C12" s="2" t="s">
        <v>28</v>
      </c>
      <c r="D12" s="7" t="s">
        <v>29</v>
      </c>
      <c r="E12" s="7" t="s">
        <v>30</v>
      </c>
      <c r="F12" s="3" t="str">
        <f t="shared" si="0"/>
        <v>vobc_16.6_11</v>
      </c>
      <c r="G12" s="3" t="s">
        <v>58</v>
      </c>
      <c r="H12" s="3" t="s">
        <v>32</v>
      </c>
      <c r="I12" s="4" t="s">
        <v>59</v>
      </c>
      <c r="J12" s="3" t="s">
        <v>60</v>
      </c>
      <c r="K12" s="2" t="s">
        <v>35</v>
      </c>
      <c r="L12" s="11">
        <v>45772</v>
      </c>
      <c r="M12" s="9" t="s">
        <v>36</v>
      </c>
      <c r="N12" s="12" t="s">
        <v>37</v>
      </c>
      <c r="O12" s="13"/>
    </row>
    <row r="13" ht="57" spans="1:15">
      <c r="A13" s="8"/>
      <c r="B13" s="2" t="s">
        <v>27</v>
      </c>
      <c r="C13" s="2" t="s">
        <v>28</v>
      </c>
      <c r="D13" s="7" t="s">
        <v>29</v>
      </c>
      <c r="E13" s="7" t="s">
        <v>30</v>
      </c>
      <c r="F13" s="3" t="str">
        <f t="shared" si="0"/>
        <v>vobc_16.6_12</v>
      </c>
      <c r="G13" s="3" t="s">
        <v>61</v>
      </c>
      <c r="H13" s="3" t="s">
        <v>32</v>
      </c>
      <c r="I13" s="4" t="s">
        <v>62</v>
      </c>
      <c r="J13" s="3" t="s">
        <v>63</v>
      </c>
      <c r="K13" s="2" t="s">
        <v>35</v>
      </c>
      <c r="L13" s="11">
        <v>45772</v>
      </c>
      <c r="M13" s="9" t="s">
        <v>36</v>
      </c>
      <c r="N13" s="12" t="s">
        <v>37</v>
      </c>
      <c r="O13" s="13"/>
    </row>
    <row r="14" ht="57" spans="1:15">
      <c r="A14" s="8"/>
      <c r="B14" s="2" t="s">
        <v>27</v>
      </c>
      <c r="C14" s="2" t="s">
        <v>28</v>
      </c>
      <c r="D14" s="7" t="s">
        <v>29</v>
      </c>
      <c r="E14" s="7" t="s">
        <v>30</v>
      </c>
      <c r="F14" s="3" t="str">
        <f t="shared" si="0"/>
        <v>vobc_16.6_13</v>
      </c>
      <c r="G14" s="3" t="s">
        <v>61</v>
      </c>
      <c r="H14" s="3" t="s">
        <v>32</v>
      </c>
      <c r="I14" s="4" t="s">
        <v>64</v>
      </c>
      <c r="J14" s="3" t="s">
        <v>65</v>
      </c>
      <c r="K14" s="2" t="s">
        <v>35</v>
      </c>
      <c r="L14" s="11">
        <v>45772</v>
      </c>
      <c r="M14" s="9" t="s">
        <v>36</v>
      </c>
      <c r="N14" s="12" t="s">
        <v>37</v>
      </c>
      <c r="O14" s="13"/>
    </row>
    <row r="15" ht="57" spans="1:15">
      <c r="A15" s="8"/>
      <c r="B15" s="2" t="s">
        <v>27</v>
      </c>
      <c r="C15" s="2" t="s">
        <v>28</v>
      </c>
      <c r="D15" s="7" t="s">
        <v>29</v>
      </c>
      <c r="E15" s="7" t="s">
        <v>30</v>
      </c>
      <c r="F15" s="3" t="str">
        <f t="shared" si="0"/>
        <v>vobc_16.6_14</v>
      </c>
      <c r="G15" s="3" t="s">
        <v>66</v>
      </c>
      <c r="H15" s="3" t="s">
        <v>32</v>
      </c>
      <c r="I15" s="4" t="s">
        <v>67</v>
      </c>
      <c r="J15" s="3" t="s">
        <v>68</v>
      </c>
      <c r="K15" s="2" t="s">
        <v>35</v>
      </c>
      <c r="L15" s="11">
        <v>45772</v>
      </c>
      <c r="M15" s="9" t="s">
        <v>36</v>
      </c>
      <c r="N15" s="12" t="s">
        <v>37</v>
      </c>
      <c r="O15" s="13"/>
    </row>
    <row r="16" ht="42.75" spans="1:15">
      <c r="A16" s="8"/>
      <c r="B16" s="2" t="s">
        <v>27</v>
      </c>
      <c r="C16" s="2" t="s">
        <v>28</v>
      </c>
      <c r="D16" s="7" t="s">
        <v>29</v>
      </c>
      <c r="E16" s="7" t="s">
        <v>30</v>
      </c>
      <c r="F16" s="3" t="str">
        <f t="shared" si="0"/>
        <v>vobc_16.6_15</v>
      </c>
      <c r="G16" s="3" t="s">
        <v>53</v>
      </c>
      <c r="H16" s="3" t="s">
        <v>32</v>
      </c>
      <c r="I16" s="4" t="s">
        <v>69</v>
      </c>
      <c r="J16" s="3" t="s">
        <v>70</v>
      </c>
      <c r="K16" s="2" t="s">
        <v>35</v>
      </c>
      <c r="L16" s="11">
        <v>45772</v>
      </c>
      <c r="M16" s="9" t="s">
        <v>36</v>
      </c>
      <c r="N16" s="12" t="s">
        <v>37</v>
      </c>
      <c r="O16" s="13"/>
    </row>
    <row r="17" ht="57" spans="1:15">
      <c r="A17" s="8"/>
      <c r="B17" s="2" t="s">
        <v>27</v>
      </c>
      <c r="C17" s="2" t="s">
        <v>28</v>
      </c>
      <c r="D17" s="7" t="s">
        <v>29</v>
      </c>
      <c r="E17" s="7" t="s">
        <v>30</v>
      </c>
      <c r="F17" s="3" t="str">
        <f t="shared" si="0"/>
        <v>vobc_16.6_16</v>
      </c>
      <c r="G17" s="3" t="s">
        <v>71</v>
      </c>
      <c r="H17" s="3" t="s">
        <v>32</v>
      </c>
      <c r="I17" s="4" t="s">
        <v>72</v>
      </c>
      <c r="J17" s="3" t="s">
        <v>73</v>
      </c>
      <c r="K17" s="2" t="s">
        <v>35</v>
      </c>
      <c r="L17" s="11">
        <v>45772</v>
      </c>
      <c r="M17" s="9" t="s">
        <v>36</v>
      </c>
      <c r="N17" s="12" t="s">
        <v>37</v>
      </c>
      <c r="O17" s="13"/>
    </row>
    <row r="18" ht="57" spans="1:15">
      <c r="A18" s="8"/>
      <c r="B18" s="2" t="s">
        <v>27</v>
      </c>
      <c r="C18" s="2" t="s">
        <v>28</v>
      </c>
      <c r="D18" s="7" t="s">
        <v>29</v>
      </c>
      <c r="E18" s="7" t="s">
        <v>30</v>
      </c>
      <c r="F18" s="3" t="str">
        <f t="shared" si="0"/>
        <v>vobc_16.6_17</v>
      </c>
      <c r="G18" s="3" t="s">
        <v>74</v>
      </c>
      <c r="H18" s="3" t="s">
        <v>32</v>
      </c>
      <c r="I18" s="4" t="s">
        <v>75</v>
      </c>
      <c r="J18" s="3" t="s">
        <v>76</v>
      </c>
      <c r="K18" s="2" t="s">
        <v>35</v>
      </c>
      <c r="L18" s="11">
        <v>45772</v>
      </c>
      <c r="M18" s="9" t="s">
        <v>36</v>
      </c>
      <c r="N18" s="12" t="s">
        <v>37</v>
      </c>
      <c r="O18" s="13"/>
    </row>
    <row r="19" ht="57" spans="1:15">
      <c r="A19" s="8"/>
      <c r="B19" s="2" t="s">
        <v>27</v>
      </c>
      <c r="C19" s="2" t="s">
        <v>28</v>
      </c>
      <c r="D19" s="7" t="s">
        <v>29</v>
      </c>
      <c r="E19" s="7" t="s">
        <v>30</v>
      </c>
      <c r="F19" s="3" t="str">
        <f t="shared" si="0"/>
        <v>vobc_16.6_18</v>
      </c>
      <c r="G19" s="3" t="s">
        <v>77</v>
      </c>
      <c r="H19" s="3" t="s">
        <v>32</v>
      </c>
      <c r="I19" s="4" t="s">
        <v>78</v>
      </c>
      <c r="J19" s="3" t="s">
        <v>79</v>
      </c>
      <c r="K19" s="2" t="s">
        <v>35</v>
      </c>
      <c r="L19" s="11">
        <v>45772</v>
      </c>
      <c r="M19" s="9" t="s">
        <v>36</v>
      </c>
      <c r="N19" s="12" t="s">
        <v>37</v>
      </c>
      <c r="O19" s="13"/>
    </row>
    <row r="20" ht="57" spans="1:15">
      <c r="A20" s="8"/>
      <c r="B20" s="2" t="s">
        <v>27</v>
      </c>
      <c r="C20" s="2" t="s">
        <v>28</v>
      </c>
      <c r="D20" s="7" t="s">
        <v>29</v>
      </c>
      <c r="E20" s="7" t="s">
        <v>30</v>
      </c>
      <c r="F20" s="3" t="str">
        <f t="shared" si="0"/>
        <v>vobc_16.6_19</v>
      </c>
      <c r="G20" s="3" t="s">
        <v>77</v>
      </c>
      <c r="H20" s="3" t="s">
        <v>32</v>
      </c>
      <c r="I20" s="4" t="s">
        <v>80</v>
      </c>
      <c r="J20" s="3" t="s">
        <v>81</v>
      </c>
      <c r="K20" s="2" t="s">
        <v>35</v>
      </c>
      <c r="L20" s="11">
        <v>45772</v>
      </c>
      <c r="M20" s="9" t="s">
        <v>36</v>
      </c>
      <c r="N20" s="12" t="s">
        <v>37</v>
      </c>
      <c r="O20" s="13"/>
    </row>
    <row r="21" ht="57" spans="1:15">
      <c r="A21" s="8"/>
      <c r="B21" s="2" t="s">
        <v>27</v>
      </c>
      <c r="C21" s="2" t="s">
        <v>28</v>
      </c>
      <c r="D21" s="7" t="s">
        <v>29</v>
      </c>
      <c r="E21" s="7" t="s">
        <v>30</v>
      </c>
      <c r="F21" s="3" t="str">
        <f t="shared" si="0"/>
        <v>vobc_16.6_20</v>
      </c>
      <c r="G21" s="3" t="s">
        <v>82</v>
      </c>
      <c r="H21" s="3" t="s">
        <v>32</v>
      </c>
      <c r="I21" s="4" t="s">
        <v>83</v>
      </c>
      <c r="J21" s="3" t="s">
        <v>84</v>
      </c>
      <c r="K21" s="2" t="s">
        <v>35</v>
      </c>
      <c r="L21" s="11">
        <v>45772</v>
      </c>
      <c r="M21" s="9" t="s">
        <v>36</v>
      </c>
      <c r="N21" s="12" t="s">
        <v>37</v>
      </c>
      <c r="O21" s="13"/>
    </row>
    <row r="22" ht="42.75" spans="1:15">
      <c r="A22" s="8"/>
      <c r="B22" s="2" t="s">
        <v>27</v>
      </c>
      <c r="C22" s="2" t="s">
        <v>28</v>
      </c>
      <c r="D22" s="7" t="s">
        <v>29</v>
      </c>
      <c r="E22" s="7" t="s">
        <v>30</v>
      </c>
      <c r="F22" s="3" t="str">
        <f t="shared" si="0"/>
        <v>vobc_16.6_21</v>
      </c>
      <c r="G22" s="3" t="s">
        <v>85</v>
      </c>
      <c r="H22" s="3" t="s">
        <v>32</v>
      </c>
      <c r="I22" s="4" t="s">
        <v>86</v>
      </c>
      <c r="J22" s="3" t="s">
        <v>87</v>
      </c>
      <c r="K22" s="2" t="s">
        <v>35</v>
      </c>
      <c r="L22" s="11">
        <v>45772</v>
      </c>
      <c r="M22" s="9" t="s">
        <v>36</v>
      </c>
      <c r="N22" s="12" t="s">
        <v>37</v>
      </c>
      <c r="O22" s="13"/>
    </row>
    <row r="23" ht="42.75" spans="1:15">
      <c r="A23" s="8"/>
      <c r="B23" s="2" t="s">
        <v>27</v>
      </c>
      <c r="C23" s="2" t="s">
        <v>28</v>
      </c>
      <c r="D23" s="7" t="s">
        <v>29</v>
      </c>
      <c r="E23" s="7" t="s">
        <v>30</v>
      </c>
      <c r="F23" s="3" t="str">
        <f t="shared" si="0"/>
        <v>vobc_16.6_22</v>
      </c>
      <c r="G23" s="3" t="s">
        <v>88</v>
      </c>
      <c r="H23" s="3" t="s">
        <v>32</v>
      </c>
      <c r="I23" s="4" t="s">
        <v>89</v>
      </c>
      <c r="J23" s="3" t="s">
        <v>90</v>
      </c>
      <c r="K23" s="2" t="s">
        <v>35</v>
      </c>
      <c r="L23" s="11">
        <v>45772</v>
      </c>
      <c r="M23" s="9" t="s">
        <v>36</v>
      </c>
      <c r="N23" s="12" t="s">
        <v>37</v>
      </c>
      <c r="O23" s="13"/>
    </row>
    <row r="24" ht="42.75" spans="1:15">
      <c r="A24" s="8"/>
      <c r="B24" s="2" t="s">
        <v>27</v>
      </c>
      <c r="C24" s="2" t="s">
        <v>28</v>
      </c>
      <c r="D24" s="7" t="s">
        <v>29</v>
      </c>
      <c r="E24" s="7" t="s">
        <v>30</v>
      </c>
      <c r="F24" s="3" t="str">
        <f t="shared" si="0"/>
        <v>vobc_16.6_23</v>
      </c>
      <c r="G24" s="3" t="s">
        <v>91</v>
      </c>
      <c r="H24" s="3" t="s">
        <v>32</v>
      </c>
      <c r="I24" s="4" t="s">
        <v>92</v>
      </c>
      <c r="J24" s="3" t="s">
        <v>93</v>
      </c>
      <c r="K24" s="2" t="s">
        <v>35</v>
      </c>
      <c r="L24" s="11">
        <v>45772</v>
      </c>
      <c r="M24" s="9" t="s">
        <v>36</v>
      </c>
      <c r="N24" s="12" t="s">
        <v>37</v>
      </c>
      <c r="O24" s="13"/>
    </row>
    <row r="25" ht="42.75" spans="1:15">
      <c r="A25" s="8"/>
      <c r="B25" s="2" t="s">
        <v>27</v>
      </c>
      <c r="C25" s="2" t="s">
        <v>28</v>
      </c>
      <c r="D25" s="7" t="s">
        <v>29</v>
      </c>
      <c r="E25" s="7" t="s">
        <v>30</v>
      </c>
      <c r="F25" s="3" t="str">
        <f t="shared" si="0"/>
        <v>vobc_16.6_24</v>
      </c>
      <c r="G25" s="3" t="s">
        <v>94</v>
      </c>
      <c r="H25" s="3" t="s">
        <v>32</v>
      </c>
      <c r="I25" s="4" t="s">
        <v>95</v>
      </c>
      <c r="J25" s="3" t="s">
        <v>96</v>
      </c>
      <c r="K25" s="2" t="s">
        <v>35</v>
      </c>
      <c r="L25" s="11">
        <v>45772</v>
      </c>
      <c r="M25" s="9" t="s">
        <v>36</v>
      </c>
      <c r="N25" s="12" t="s">
        <v>37</v>
      </c>
      <c r="O25" s="13"/>
    </row>
    <row r="26" ht="42.75" spans="1:15">
      <c r="A26" s="8"/>
      <c r="B26" s="2" t="s">
        <v>27</v>
      </c>
      <c r="C26" s="2" t="s">
        <v>28</v>
      </c>
      <c r="D26" s="7" t="s">
        <v>29</v>
      </c>
      <c r="E26" s="7" t="s">
        <v>30</v>
      </c>
      <c r="F26" s="3" t="str">
        <f t="shared" si="0"/>
        <v>vobc_16.6_25</v>
      </c>
      <c r="G26" s="3" t="s">
        <v>97</v>
      </c>
      <c r="H26" s="3" t="s">
        <v>32</v>
      </c>
      <c r="I26" s="4" t="s">
        <v>98</v>
      </c>
      <c r="J26" s="3" t="s">
        <v>99</v>
      </c>
      <c r="K26" s="2" t="s">
        <v>35</v>
      </c>
      <c r="L26" s="11">
        <v>45772</v>
      </c>
      <c r="M26" s="9" t="s">
        <v>36</v>
      </c>
      <c r="N26" s="12" t="s">
        <v>37</v>
      </c>
      <c r="O26" s="13"/>
    </row>
    <row r="27" ht="42.75" spans="1:15">
      <c r="A27" s="8"/>
      <c r="B27" s="2" t="s">
        <v>27</v>
      </c>
      <c r="C27" s="2" t="s">
        <v>28</v>
      </c>
      <c r="D27" s="7" t="s">
        <v>29</v>
      </c>
      <c r="E27" s="7" t="s">
        <v>30</v>
      </c>
      <c r="F27" s="3" t="str">
        <f t="shared" si="0"/>
        <v>vobc_16.6_26</v>
      </c>
      <c r="G27" s="3" t="s">
        <v>100</v>
      </c>
      <c r="H27" s="3" t="s">
        <v>32</v>
      </c>
      <c r="I27" s="4" t="s">
        <v>101</v>
      </c>
      <c r="J27" s="3" t="s">
        <v>102</v>
      </c>
      <c r="K27" s="2" t="s">
        <v>35</v>
      </c>
      <c r="L27" s="11">
        <v>45772</v>
      </c>
      <c r="M27" s="9" t="s">
        <v>36</v>
      </c>
      <c r="N27" s="12" t="s">
        <v>37</v>
      </c>
      <c r="O27" s="13"/>
    </row>
    <row r="28" ht="42.75" spans="1:15">
      <c r="A28" s="8"/>
      <c r="B28" s="2" t="s">
        <v>27</v>
      </c>
      <c r="C28" s="2" t="s">
        <v>28</v>
      </c>
      <c r="D28" s="7" t="s">
        <v>29</v>
      </c>
      <c r="E28" s="7" t="s">
        <v>30</v>
      </c>
      <c r="F28" s="3" t="str">
        <f t="shared" si="0"/>
        <v>vobc_16.6_27</v>
      </c>
      <c r="G28" s="3" t="s">
        <v>103</v>
      </c>
      <c r="H28" s="3" t="s">
        <v>32</v>
      </c>
      <c r="I28" s="4" t="s">
        <v>104</v>
      </c>
      <c r="J28" s="3" t="s">
        <v>105</v>
      </c>
      <c r="K28" s="2" t="s">
        <v>35</v>
      </c>
      <c r="L28" s="11">
        <v>45772</v>
      </c>
      <c r="M28" s="9" t="s">
        <v>36</v>
      </c>
      <c r="N28" s="12" t="s">
        <v>37</v>
      </c>
      <c r="O28" s="13"/>
    </row>
    <row r="29" ht="42.75" spans="1:15">
      <c r="A29" s="8"/>
      <c r="B29" s="2" t="s">
        <v>27</v>
      </c>
      <c r="C29" s="2" t="s">
        <v>28</v>
      </c>
      <c r="D29" s="7" t="s">
        <v>29</v>
      </c>
      <c r="E29" s="7" t="s">
        <v>30</v>
      </c>
      <c r="F29" s="3" t="str">
        <f t="shared" si="0"/>
        <v>vobc_16.6_28</v>
      </c>
      <c r="G29" s="3" t="s">
        <v>106</v>
      </c>
      <c r="H29" s="3" t="s">
        <v>32</v>
      </c>
      <c r="I29" s="4" t="s">
        <v>107</v>
      </c>
      <c r="J29" s="3" t="s">
        <v>108</v>
      </c>
      <c r="K29" s="2" t="s">
        <v>35</v>
      </c>
      <c r="L29" s="11">
        <v>45772</v>
      </c>
      <c r="M29" s="9" t="s">
        <v>36</v>
      </c>
      <c r="N29" s="12" t="s">
        <v>37</v>
      </c>
      <c r="O29" s="13"/>
    </row>
    <row r="30" s="1" customFormat="1" ht="42.75" spans="1:15">
      <c r="A30" s="8"/>
      <c r="B30" s="2" t="s">
        <v>27</v>
      </c>
      <c r="C30" s="2" t="s">
        <v>28</v>
      </c>
      <c r="D30" s="7" t="s">
        <v>29</v>
      </c>
      <c r="E30" s="7" t="s">
        <v>30</v>
      </c>
      <c r="F30" s="3" t="str">
        <f t="shared" si="0"/>
        <v>vobc_16.6_29</v>
      </c>
      <c r="G30" s="3" t="s">
        <v>109</v>
      </c>
      <c r="H30" s="3" t="s">
        <v>44</v>
      </c>
      <c r="I30" s="4" t="s">
        <v>110</v>
      </c>
      <c r="J30" s="3" t="s">
        <v>111</v>
      </c>
      <c r="K30" s="2" t="s">
        <v>35</v>
      </c>
      <c r="L30" s="11">
        <v>45772</v>
      </c>
      <c r="M30" s="9" t="s">
        <v>36</v>
      </c>
      <c r="N30" s="12" t="s">
        <v>37</v>
      </c>
      <c r="O30" s="13"/>
    </row>
    <row r="31" s="1" customFormat="1" ht="42.75" spans="1:15">
      <c r="A31" s="8"/>
      <c r="B31" s="2" t="s">
        <v>27</v>
      </c>
      <c r="C31" s="2" t="s">
        <v>28</v>
      </c>
      <c r="D31" s="7" t="s">
        <v>29</v>
      </c>
      <c r="E31" s="7" t="s">
        <v>30</v>
      </c>
      <c r="F31" s="3" t="str">
        <f t="shared" si="0"/>
        <v>vobc_16.6_30</v>
      </c>
      <c r="G31" s="3" t="s">
        <v>112</v>
      </c>
      <c r="H31" s="3" t="s">
        <v>44</v>
      </c>
      <c r="I31" s="4" t="s">
        <v>113</v>
      </c>
      <c r="J31" s="3" t="s">
        <v>114</v>
      </c>
      <c r="K31" s="2" t="s">
        <v>35</v>
      </c>
      <c r="L31" s="11">
        <v>45772</v>
      </c>
      <c r="M31" s="9" t="s">
        <v>36</v>
      </c>
      <c r="N31" s="12" t="s">
        <v>37</v>
      </c>
      <c r="O31" s="13"/>
    </row>
    <row r="32" s="1" customFormat="1" ht="42.75" spans="1:15">
      <c r="A32" s="8"/>
      <c r="B32" s="2" t="s">
        <v>27</v>
      </c>
      <c r="C32" s="2" t="s">
        <v>28</v>
      </c>
      <c r="D32" s="7" t="s">
        <v>29</v>
      </c>
      <c r="E32" s="7" t="s">
        <v>30</v>
      </c>
      <c r="F32" s="3" t="str">
        <f t="shared" si="0"/>
        <v>vobc_16.6_31</v>
      </c>
      <c r="G32" s="3" t="s">
        <v>115</v>
      </c>
      <c r="H32" s="3" t="s">
        <v>44</v>
      </c>
      <c r="I32" s="4" t="s">
        <v>116</v>
      </c>
      <c r="J32" s="3" t="s">
        <v>117</v>
      </c>
      <c r="K32" s="2" t="s">
        <v>35</v>
      </c>
      <c r="L32" s="11">
        <v>45772</v>
      </c>
      <c r="M32" s="9" t="s">
        <v>36</v>
      </c>
      <c r="N32" s="12" t="s">
        <v>37</v>
      </c>
      <c r="O32" s="13"/>
    </row>
    <row r="33" s="1" customFormat="1" ht="42.75" spans="1:15">
      <c r="A33" s="8"/>
      <c r="B33" s="2" t="s">
        <v>27</v>
      </c>
      <c r="C33" s="2" t="s">
        <v>28</v>
      </c>
      <c r="D33" s="7" t="s">
        <v>29</v>
      </c>
      <c r="E33" s="7" t="s">
        <v>30</v>
      </c>
      <c r="F33" s="3" t="str">
        <f t="shared" si="0"/>
        <v>vobc_16.6_32</v>
      </c>
      <c r="G33" s="3" t="s">
        <v>118</v>
      </c>
      <c r="H33" s="3" t="s">
        <v>44</v>
      </c>
      <c r="I33" s="4" t="s">
        <v>119</v>
      </c>
      <c r="J33" s="3" t="s">
        <v>120</v>
      </c>
      <c r="K33" s="2" t="s">
        <v>35</v>
      </c>
      <c r="L33" s="11">
        <v>45772</v>
      </c>
      <c r="M33" s="9" t="s">
        <v>36</v>
      </c>
      <c r="N33" s="12" t="s">
        <v>37</v>
      </c>
      <c r="O33" s="13"/>
    </row>
    <row r="34" s="1" customFormat="1" ht="42.75" spans="1:15">
      <c r="A34" s="8"/>
      <c r="B34" s="2" t="s">
        <v>27</v>
      </c>
      <c r="C34" s="2" t="s">
        <v>28</v>
      </c>
      <c r="D34" s="7" t="s">
        <v>29</v>
      </c>
      <c r="E34" s="7" t="s">
        <v>30</v>
      </c>
      <c r="F34" s="3" t="str">
        <f t="shared" si="0"/>
        <v>vobc_16.6_33</v>
      </c>
      <c r="G34" s="3" t="s">
        <v>121</v>
      </c>
      <c r="H34" s="3" t="s">
        <v>44</v>
      </c>
      <c r="I34" s="4" t="s">
        <v>122</v>
      </c>
      <c r="J34" s="3" t="s">
        <v>123</v>
      </c>
      <c r="K34" s="2" t="s">
        <v>35</v>
      </c>
      <c r="L34" s="11">
        <v>45772</v>
      </c>
      <c r="M34" s="9" t="s">
        <v>36</v>
      </c>
      <c r="N34" s="12" t="s">
        <v>37</v>
      </c>
      <c r="O34" s="13"/>
    </row>
    <row r="35" s="1" customFormat="1" ht="42.75" spans="1:15">
      <c r="A35" s="8"/>
      <c r="B35" s="2" t="s">
        <v>27</v>
      </c>
      <c r="C35" s="2" t="s">
        <v>28</v>
      </c>
      <c r="D35" s="7" t="s">
        <v>29</v>
      </c>
      <c r="E35" s="7" t="s">
        <v>30</v>
      </c>
      <c r="F35" s="3" t="str">
        <f t="shared" si="0"/>
        <v>vobc_16.6_34</v>
      </c>
      <c r="G35" s="3" t="s">
        <v>124</v>
      </c>
      <c r="H35" s="3" t="s">
        <v>44</v>
      </c>
      <c r="I35" s="4" t="s">
        <v>125</v>
      </c>
      <c r="J35" s="3" t="s">
        <v>126</v>
      </c>
      <c r="K35" s="2" t="s">
        <v>35</v>
      </c>
      <c r="L35" s="11">
        <v>45772</v>
      </c>
      <c r="M35" s="9" t="s">
        <v>36</v>
      </c>
      <c r="N35" s="12" t="s">
        <v>37</v>
      </c>
      <c r="O35" s="13"/>
    </row>
    <row r="36" s="1" customFormat="1" ht="42.75" spans="1:15">
      <c r="A36" s="8"/>
      <c r="B36" s="2" t="s">
        <v>27</v>
      </c>
      <c r="C36" s="2" t="s">
        <v>28</v>
      </c>
      <c r="D36" s="7" t="s">
        <v>29</v>
      </c>
      <c r="E36" s="7" t="s">
        <v>30</v>
      </c>
      <c r="F36" s="3" t="str">
        <f t="shared" si="0"/>
        <v>vobc_16.6_35</v>
      </c>
      <c r="G36" s="3" t="s">
        <v>127</v>
      </c>
      <c r="H36" s="3" t="s">
        <v>44</v>
      </c>
      <c r="I36" s="4" t="s">
        <v>128</v>
      </c>
      <c r="J36" s="3" t="s">
        <v>129</v>
      </c>
      <c r="K36" s="2" t="s">
        <v>35</v>
      </c>
      <c r="L36" s="11">
        <v>45772</v>
      </c>
      <c r="M36" s="9" t="s">
        <v>36</v>
      </c>
      <c r="N36" s="12" t="s">
        <v>37</v>
      </c>
      <c r="O36" s="13"/>
    </row>
    <row r="37" s="1" customFormat="1" ht="42.75" spans="1:15">
      <c r="A37" s="8"/>
      <c r="B37" s="2" t="s">
        <v>27</v>
      </c>
      <c r="C37" s="2" t="s">
        <v>28</v>
      </c>
      <c r="D37" s="7" t="s">
        <v>29</v>
      </c>
      <c r="E37" s="7" t="s">
        <v>30</v>
      </c>
      <c r="F37" s="3" t="str">
        <f t="shared" si="0"/>
        <v>vobc_16.6_36</v>
      </c>
      <c r="G37" s="3" t="s">
        <v>130</v>
      </c>
      <c r="H37" s="3" t="s">
        <v>44</v>
      </c>
      <c r="I37" s="4" t="s">
        <v>131</v>
      </c>
      <c r="J37" s="3" t="s">
        <v>132</v>
      </c>
      <c r="K37" s="2" t="s">
        <v>35</v>
      </c>
      <c r="L37" s="11">
        <v>45772</v>
      </c>
      <c r="M37" s="9" t="s">
        <v>36</v>
      </c>
      <c r="N37" s="12" t="s">
        <v>37</v>
      </c>
      <c r="O37" s="13"/>
    </row>
    <row r="38" ht="42.75" spans="1:15">
      <c r="A38" s="8"/>
      <c r="B38" s="2" t="s">
        <v>27</v>
      </c>
      <c r="C38" s="2" t="s">
        <v>28</v>
      </c>
      <c r="D38" s="7" t="s">
        <v>29</v>
      </c>
      <c r="E38" s="7" t="s">
        <v>30</v>
      </c>
      <c r="F38" s="3" t="str">
        <f t="shared" si="0"/>
        <v>vobc_16.6_37</v>
      </c>
      <c r="G38" s="3" t="s">
        <v>133</v>
      </c>
      <c r="H38" s="3" t="s">
        <v>32</v>
      </c>
      <c r="I38" s="4" t="s">
        <v>134</v>
      </c>
      <c r="J38" s="3" t="s">
        <v>34</v>
      </c>
      <c r="K38" s="2" t="s">
        <v>35</v>
      </c>
      <c r="L38" s="11">
        <v>45772</v>
      </c>
      <c r="M38" s="9" t="s">
        <v>36</v>
      </c>
      <c r="N38" s="12" t="s">
        <v>37</v>
      </c>
      <c r="O38" s="13"/>
    </row>
    <row r="39" ht="42.75" spans="1:15">
      <c r="A39" s="8"/>
      <c r="B39" s="2" t="s">
        <v>27</v>
      </c>
      <c r="C39" s="2" t="s">
        <v>28</v>
      </c>
      <c r="D39" s="7" t="s">
        <v>29</v>
      </c>
      <c r="E39" s="7" t="s">
        <v>30</v>
      </c>
      <c r="F39" s="3" t="str">
        <f t="shared" si="0"/>
        <v>vobc_16.6_38</v>
      </c>
      <c r="G39" s="3" t="s">
        <v>135</v>
      </c>
      <c r="H39" s="3" t="s">
        <v>32</v>
      </c>
      <c r="I39" s="4" t="s">
        <v>136</v>
      </c>
      <c r="J39" s="3" t="s">
        <v>34</v>
      </c>
      <c r="K39" s="2" t="s">
        <v>35</v>
      </c>
      <c r="L39" s="11">
        <v>45772</v>
      </c>
      <c r="M39" s="9" t="s">
        <v>36</v>
      </c>
      <c r="N39" s="12" t="s">
        <v>37</v>
      </c>
      <c r="O39" s="13"/>
    </row>
    <row r="40" ht="42.75" spans="1:15">
      <c r="A40" s="8"/>
      <c r="B40" s="2" t="s">
        <v>27</v>
      </c>
      <c r="C40" s="2" t="s">
        <v>28</v>
      </c>
      <c r="D40" s="7" t="s">
        <v>29</v>
      </c>
      <c r="E40" s="7" t="s">
        <v>30</v>
      </c>
      <c r="F40" s="3" t="str">
        <f t="shared" si="0"/>
        <v>vobc_16.6_39</v>
      </c>
      <c r="G40" s="3" t="s">
        <v>137</v>
      </c>
      <c r="H40" s="3" t="s">
        <v>44</v>
      </c>
      <c r="I40" s="4" t="s">
        <v>138</v>
      </c>
      <c r="J40" s="3" t="s">
        <v>46</v>
      </c>
      <c r="K40" s="2" t="s">
        <v>35</v>
      </c>
      <c r="L40" s="11">
        <v>45772</v>
      </c>
      <c r="M40" s="9" t="s">
        <v>36</v>
      </c>
      <c r="N40" s="12" t="s">
        <v>37</v>
      </c>
      <c r="O40" s="13"/>
    </row>
    <row r="41" ht="42.75" spans="1:15">
      <c r="A41" s="8"/>
      <c r="B41" s="2" t="s">
        <v>27</v>
      </c>
      <c r="C41" s="2" t="s">
        <v>28</v>
      </c>
      <c r="D41" s="7" t="s">
        <v>29</v>
      </c>
      <c r="E41" s="7" t="s">
        <v>30</v>
      </c>
      <c r="F41" s="3" t="str">
        <f t="shared" si="0"/>
        <v>vobc_16.6_40</v>
      </c>
      <c r="G41" s="3" t="s">
        <v>139</v>
      </c>
      <c r="H41" s="3" t="s">
        <v>44</v>
      </c>
      <c r="I41" s="4" t="s">
        <v>140</v>
      </c>
      <c r="J41" s="3" t="s">
        <v>46</v>
      </c>
      <c r="K41" s="2" t="s">
        <v>35</v>
      </c>
      <c r="L41" s="11">
        <v>45772</v>
      </c>
      <c r="M41" s="9" t="s">
        <v>36</v>
      </c>
      <c r="N41" s="12" t="s">
        <v>37</v>
      </c>
      <c r="O41" s="13"/>
    </row>
    <row r="42" ht="28.5" spans="1:14">
      <c r="A42" s="6" t="s">
        <v>141</v>
      </c>
      <c r="B42" s="2" t="s">
        <v>27</v>
      </c>
      <c r="C42" s="2" t="s">
        <v>28</v>
      </c>
      <c r="D42" s="7" t="s">
        <v>29</v>
      </c>
      <c r="E42" s="7" t="s">
        <v>30</v>
      </c>
      <c r="F42" s="3" t="str">
        <f t="shared" si="0"/>
        <v>vobc_16.6_41</v>
      </c>
      <c r="G42" s="3" t="s">
        <v>142</v>
      </c>
      <c r="H42" s="3" t="s">
        <v>32</v>
      </c>
      <c r="I42" s="4" t="s">
        <v>33</v>
      </c>
      <c r="J42" s="3" t="s">
        <v>143</v>
      </c>
      <c r="K42" s="2" t="s">
        <v>35</v>
      </c>
      <c r="L42" s="11">
        <v>45772</v>
      </c>
      <c r="M42" s="9" t="s">
        <v>36</v>
      </c>
      <c r="N42" s="12" t="s">
        <v>37</v>
      </c>
    </row>
    <row r="43" ht="28.5" spans="1:14">
      <c r="A43" s="8"/>
      <c r="B43" s="2" t="s">
        <v>27</v>
      </c>
      <c r="C43" s="2" t="s">
        <v>28</v>
      </c>
      <c r="D43" s="7" t="s">
        <v>29</v>
      </c>
      <c r="E43" s="7" t="s">
        <v>30</v>
      </c>
      <c r="F43" s="3" t="str">
        <f>"vobc_16.6_"&amp;ROW()-1</f>
        <v>vobc_16.6_42</v>
      </c>
      <c r="G43" s="3" t="s">
        <v>144</v>
      </c>
      <c r="H43" s="3" t="s">
        <v>32</v>
      </c>
      <c r="I43" s="4" t="s">
        <v>33</v>
      </c>
      <c r="J43" s="3" t="s">
        <v>145</v>
      </c>
      <c r="K43" s="2" t="s">
        <v>35</v>
      </c>
      <c r="L43" s="11">
        <v>45772</v>
      </c>
      <c r="M43" s="9" t="s">
        <v>36</v>
      </c>
      <c r="N43" s="12" t="s">
        <v>37</v>
      </c>
    </row>
    <row r="44" ht="28.5" spans="1:14">
      <c r="A44" s="8"/>
      <c r="B44" s="2" t="s">
        <v>27</v>
      </c>
      <c r="C44" s="2" t="s">
        <v>28</v>
      </c>
      <c r="D44" s="7" t="s">
        <v>29</v>
      </c>
      <c r="E44" s="7" t="s">
        <v>30</v>
      </c>
      <c r="F44" s="3" t="str">
        <f>"vobc_16.6_"&amp;ROW()-1</f>
        <v>vobc_16.6_43</v>
      </c>
      <c r="G44" s="3" t="s">
        <v>146</v>
      </c>
      <c r="H44" s="3" t="s">
        <v>32</v>
      </c>
      <c r="I44" s="4" t="s">
        <v>33</v>
      </c>
      <c r="J44" s="3" t="s">
        <v>143</v>
      </c>
      <c r="K44" s="2" t="s">
        <v>35</v>
      </c>
      <c r="L44" s="11">
        <v>45772</v>
      </c>
      <c r="M44" s="9" t="s">
        <v>36</v>
      </c>
      <c r="N44" s="12" t="s">
        <v>37</v>
      </c>
    </row>
    <row r="45" ht="28.5" spans="1:14">
      <c r="A45" s="8"/>
      <c r="B45" s="2" t="s">
        <v>27</v>
      </c>
      <c r="C45" s="2" t="s">
        <v>28</v>
      </c>
      <c r="D45" s="7" t="s">
        <v>29</v>
      </c>
      <c r="E45" s="7" t="s">
        <v>30</v>
      </c>
      <c r="F45" s="3" t="str">
        <f>"vobc_16.6_"&amp;ROW()-1</f>
        <v>vobc_16.6_44</v>
      </c>
      <c r="G45" s="3" t="s">
        <v>147</v>
      </c>
      <c r="H45" s="3" t="s">
        <v>44</v>
      </c>
      <c r="I45" s="4" t="s">
        <v>45</v>
      </c>
      <c r="J45" s="3" t="s">
        <v>148</v>
      </c>
      <c r="K45" s="2" t="s">
        <v>35</v>
      </c>
      <c r="L45" s="11">
        <v>45772</v>
      </c>
      <c r="M45" s="9" t="s">
        <v>36</v>
      </c>
      <c r="N45" s="12" t="s">
        <v>37</v>
      </c>
    </row>
    <row r="46" ht="42.75" spans="1:14">
      <c r="A46" s="8"/>
      <c r="B46" s="2" t="s">
        <v>27</v>
      </c>
      <c r="C46" s="2" t="s">
        <v>28</v>
      </c>
      <c r="D46" s="7" t="s">
        <v>29</v>
      </c>
      <c r="E46" s="7" t="s">
        <v>30</v>
      </c>
      <c r="F46" s="3" t="str">
        <f>"vobc_16.6_"&amp;ROW()-1</f>
        <v>vobc_16.6_45</v>
      </c>
      <c r="G46" s="3" t="s">
        <v>149</v>
      </c>
      <c r="H46" s="3" t="s">
        <v>32</v>
      </c>
      <c r="I46" s="4" t="s">
        <v>48</v>
      </c>
      <c r="J46" s="3" t="s">
        <v>150</v>
      </c>
      <c r="K46" s="2" t="s">
        <v>35</v>
      </c>
      <c r="L46" s="11">
        <v>45772</v>
      </c>
      <c r="M46" s="9" t="s">
        <v>36</v>
      </c>
      <c r="N46" s="12" t="s">
        <v>37</v>
      </c>
    </row>
    <row r="47" ht="42.75" spans="1:14">
      <c r="A47" s="8"/>
      <c r="B47" s="2" t="s">
        <v>27</v>
      </c>
      <c r="C47" s="2" t="s">
        <v>28</v>
      </c>
      <c r="D47" s="7" t="s">
        <v>29</v>
      </c>
      <c r="E47" s="7" t="s">
        <v>30</v>
      </c>
      <c r="F47" s="3" t="str">
        <f>"vobc_16.6_"&amp;ROW()-1</f>
        <v>vobc_16.6_46</v>
      </c>
      <c r="G47" s="3" t="s">
        <v>151</v>
      </c>
      <c r="H47" s="3" t="s">
        <v>44</v>
      </c>
      <c r="I47" s="4" t="s">
        <v>51</v>
      </c>
      <c r="J47" s="3" t="s">
        <v>152</v>
      </c>
      <c r="K47" s="2" t="s">
        <v>35</v>
      </c>
      <c r="L47" s="11">
        <v>45772</v>
      </c>
      <c r="M47" s="9" t="s">
        <v>36</v>
      </c>
      <c r="N47" s="12" t="s">
        <v>37</v>
      </c>
    </row>
    <row r="48" ht="28.5" spans="1:14">
      <c r="A48" s="8"/>
      <c r="B48" s="2" t="s">
        <v>27</v>
      </c>
      <c r="C48" s="2" t="s">
        <v>28</v>
      </c>
      <c r="D48" s="7" t="s">
        <v>29</v>
      </c>
      <c r="E48" s="7" t="s">
        <v>30</v>
      </c>
      <c r="F48" s="3" t="str">
        <f>"vobc_16.6_"&amp;ROW()-1</f>
        <v>vobc_16.6_47</v>
      </c>
      <c r="G48" s="3" t="s">
        <v>153</v>
      </c>
      <c r="H48" s="3" t="s">
        <v>32</v>
      </c>
      <c r="I48" s="4" t="s">
        <v>33</v>
      </c>
      <c r="J48" s="3" t="s">
        <v>154</v>
      </c>
      <c r="K48" s="2" t="s">
        <v>35</v>
      </c>
      <c r="L48" s="11">
        <v>45772</v>
      </c>
      <c r="M48" s="9" t="s">
        <v>36</v>
      </c>
      <c r="N48" s="12" t="s">
        <v>37</v>
      </c>
    </row>
    <row r="49" ht="57" spans="1:14">
      <c r="A49" s="8"/>
      <c r="B49" s="2" t="s">
        <v>27</v>
      </c>
      <c r="C49" s="2" t="s">
        <v>28</v>
      </c>
      <c r="D49" s="7" t="s">
        <v>29</v>
      </c>
      <c r="E49" s="7" t="s">
        <v>30</v>
      </c>
      <c r="F49" s="3" t="str">
        <f>"vobc_16.6_"&amp;ROW()-1</f>
        <v>vobc_16.6_48</v>
      </c>
      <c r="G49" s="3" t="s">
        <v>155</v>
      </c>
      <c r="H49" s="3" t="s">
        <v>32</v>
      </c>
      <c r="I49" s="4" t="s">
        <v>56</v>
      </c>
      <c r="J49" s="3" t="s">
        <v>156</v>
      </c>
      <c r="K49" s="2" t="s">
        <v>35</v>
      </c>
      <c r="L49" s="11">
        <v>45772</v>
      </c>
      <c r="M49" s="9" t="s">
        <v>36</v>
      </c>
      <c r="N49" s="12" t="s">
        <v>37</v>
      </c>
    </row>
    <row r="50" ht="57" spans="1:14">
      <c r="A50" s="8"/>
      <c r="B50" s="2" t="s">
        <v>27</v>
      </c>
      <c r="C50" s="2" t="s">
        <v>28</v>
      </c>
      <c r="D50" s="7" t="s">
        <v>29</v>
      </c>
      <c r="E50" s="7" t="s">
        <v>30</v>
      </c>
      <c r="F50" s="3" t="str">
        <f>"vobc_16.6_"&amp;ROW()-1</f>
        <v>vobc_16.6_49</v>
      </c>
      <c r="G50" s="3" t="s">
        <v>157</v>
      </c>
      <c r="H50" s="3" t="s">
        <v>32</v>
      </c>
      <c r="I50" s="4" t="s">
        <v>59</v>
      </c>
      <c r="J50" s="3" t="s">
        <v>158</v>
      </c>
      <c r="K50" s="2" t="s">
        <v>35</v>
      </c>
      <c r="L50" s="11">
        <v>45772</v>
      </c>
      <c r="M50" s="9" t="s">
        <v>36</v>
      </c>
      <c r="N50" s="12" t="s">
        <v>37</v>
      </c>
    </row>
    <row r="51" ht="57" spans="1:14">
      <c r="A51" s="8"/>
      <c r="B51" s="2" t="s">
        <v>27</v>
      </c>
      <c r="C51" s="2" t="s">
        <v>28</v>
      </c>
      <c r="D51" s="7" t="s">
        <v>29</v>
      </c>
      <c r="E51" s="7" t="s">
        <v>30</v>
      </c>
      <c r="F51" s="3" t="str">
        <f>"vobc_16.6_"&amp;ROW()-1</f>
        <v>vobc_16.6_50</v>
      </c>
      <c r="G51" s="3" t="s">
        <v>159</v>
      </c>
      <c r="H51" s="3" t="s">
        <v>32</v>
      </c>
      <c r="I51" s="4" t="s">
        <v>62</v>
      </c>
      <c r="J51" s="3" t="s">
        <v>160</v>
      </c>
      <c r="K51" s="2" t="s">
        <v>35</v>
      </c>
      <c r="L51" s="11">
        <v>45772</v>
      </c>
      <c r="M51" s="9" t="s">
        <v>36</v>
      </c>
      <c r="N51" s="12" t="s">
        <v>37</v>
      </c>
    </row>
    <row r="52" ht="57" spans="1:14">
      <c r="A52" s="8"/>
      <c r="B52" s="2" t="s">
        <v>27</v>
      </c>
      <c r="C52" s="2" t="s">
        <v>28</v>
      </c>
      <c r="D52" s="7" t="s">
        <v>29</v>
      </c>
      <c r="E52" s="7" t="s">
        <v>30</v>
      </c>
      <c r="F52" s="3" t="str">
        <f>"vobc_16.6_"&amp;ROW()-1</f>
        <v>vobc_16.6_51</v>
      </c>
      <c r="G52" s="3" t="s">
        <v>159</v>
      </c>
      <c r="H52" s="3" t="s">
        <v>32</v>
      </c>
      <c r="I52" s="4" t="s">
        <v>64</v>
      </c>
      <c r="J52" s="3" t="s">
        <v>161</v>
      </c>
      <c r="K52" s="2" t="s">
        <v>35</v>
      </c>
      <c r="L52" s="11">
        <v>45772</v>
      </c>
      <c r="M52" s="9" t="s">
        <v>36</v>
      </c>
      <c r="N52" s="12" t="s">
        <v>37</v>
      </c>
    </row>
    <row r="53" ht="57" spans="1:14">
      <c r="A53" s="8"/>
      <c r="B53" s="2" t="s">
        <v>27</v>
      </c>
      <c r="C53" s="2" t="s">
        <v>28</v>
      </c>
      <c r="D53" s="7" t="s">
        <v>29</v>
      </c>
      <c r="E53" s="7" t="s">
        <v>30</v>
      </c>
      <c r="F53" s="3" t="str">
        <f>"vobc_16.6_"&amp;ROW()-1</f>
        <v>vobc_16.6_52</v>
      </c>
      <c r="G53" s="3" t="s">
        <v>162</v>
      </c>
      <c r="H53" s="3" t="s">
        <v>32</v>
      </c>
      <c r="I53" s="4" t="s">
        <v>67</v>
      </c>
      <c r="J53" s="3" t="s">
        <v>163</v>
      </c>
      <c r="K53" s="2" t="s">
        <v>35</v>
      </c>
      <c r="L53" s="11">
        <v>45772</v>
      </c>
      <c r="M53" s="9" t="s">
        <v>36</v>
      </c>
      <c r="N53" s="12" t="s">
        <v>37</v>
      </c>
    </row>
    <row r="54" ht="42.75" spans="1:14">
      <c r="A54" s="8"/>
      <c r="B54" s="2" t="s">
        <v>27</v>
      </c>
      <c r="C54" s="2" t="s">
        <v>28</v>
      </c>
      <c r="D54" s="7" t="s">
        <v>29</v>
      </c>
      <c r="E54" s="7" t="s">
        <v>30</v>
      </c>
      <c r="F54" s="3" t="str">
        <f>"vobc_16.6_"&amp;ROW()-1</f>
        <v>vobc_16.6_53</v>
      </c>
      <c r="G54" s="3" t="s">
        <v>153</v>
      </c>
      <c r="H54" s="3" t="s">
        <v>32</v>
      </c>
      <c r="I54" s="4" t="s">
        <v>69</v>
      </c>
      <c r="J54" s="3" t="s">
        <v>164</v>
      </c>
      <c r="K54" s="2" t="s">
        <v>35</v>
      </c>
      <c r="L54" s="11">
        <v>45772</v>
      </c>
      <c r="M54" s="9" t="s">
        <v>36</v>
      </c>
      <c r="N54" s="12" t="s">
        <v>37</v>
      </c>
    </row>
    <row r="55" ht="57" spans="1:14">
      <c r="A55" s="8"/>
      <c r="B55" s="2" t="s">
        <v>27</v>
      </c>
      <c r="C55" s="2" t="s">
        <v>28</v>
      </c>
      <c r="D55" s="7" t="s">
        <v>29</v>
      </c>
      <c r="E55" s="7" t="s">
        <v>30</v>
      </c>
      <c r="F55" s="3" t="str">
        <f>"vobc_16.6_"&amp;ROW()-1</f>
        <v>vobc_16.6_54</v>
      </c>
      <c r="G55" s="3" t="s">
        <v>165</v>
      </c>
      <c r="H55" s="3" t="s">
        <v>32</v>
      </c>
      <c r="I55" s="4" t="s">
        <v>72</v>
      </c>
      <c r="J55" s="3" t="s">
        <v>166</v>
      </c>
      <c r="K55" s="2" t="s">
        <v>35</v>
      </c>
      <c r="L55" s="11">
        <v>45772</v>
      </c>
      <c r="M55" s="9" t="s">
        <v>36</v>
      </c>
      <c r="N55" s="12" t="s">
        <v>37</v>
      </c>
    </row>
    <row r="56" ht="57" spans="1:14">
      <c r="A56" s="8"/>
      <c r="B56" s="2" t="s">
        <v>27</v>
      </c>
      <c r="C56" s="2" t="s">
        <v>28</v>
      </c>
      <c r="D56" s="7" t="s">
        <v>29</v>
      </c>
      <c r="E56" s="7" t="s">
        <v>30</v>
      </c>
      <c r="F56" s="3" t="str">
        <f>"vobc_16.6_"&amp;ROW()-1</f>
        <v>vobc_16.6_55</v>
      </c>
      <c r="G56" s="3" t="s">
        <v>167</v>
      </c>
      <c r="H56" s="3" t="s">
        <v>32</v>
      </c>
      <c r="I56" s="4" t="s">
        <v>75</v>
      </c>
      <c r="J56" s="3" t="s">
        <v>168</v>
      </c>
      <c r="K56" s="2" t="s">
        <v>35</v>
      </c>
      <c r="L56" s="11">
        <v>45772</v>
      </c>
      <c r="M56" s="9" t="s">
        <v>36</v>
      </c>
      <c r="N56" s="12" t="s">
        <v>37</v>
      </c>
    </row>
    <row r="57" ht="57" spans="1:14">
      <c r="A57" s="8"/>
      <c r="B57" s="2" t="s">
        <v>27</v>
      </c>
      <c r="C57" s="2" t="s">
        <v>28</v>
      </c>
      <c r="D57" s="7" t="s">
        <v>29</v>
      </c>
      <c r="E57" s="7" t="s">
        <v>30</v>
      </c>
      <c r="F57" s="3" t="str">
        <f>"vobc_16.6_"&amp;ROW()-1</f>
        <v>vobc_16.6_56</v>
      </c>
      <c r="G57" s="3" t="s">
        <v>169</v>
      </c>
      <c r="H57" s="3" t="s">
        <v>32</v>
      </c>
      <c r="I57" s="4" t="s">
        <v>78</v>
      </c>
      <c r="J57" s="3" t="s">
        <v>170</v>
      </c>
      <c r="K57" s="2" t="s">
        <v>35</v>
      </c>
      <c r="L57" s="11">
        <v>45772</v>
      </c>
      <c r="M57" s="9" t="s">
        <v>36</v>
      </c>
      <c r="N57" s="12" t="s">
        <v>37</v>
      </c>
    </row>
    <row r="58" ht="57" spans="1:14">
      <c r="A58" s="8"/>
      <c r="B58" s="2" t="s">
        <v>27</v>
      </c>
      <c r="C58" s="2" t="s">
        <v>28</v>
      </c>
      <c r="D58" s="7" t="s">
        <v>29</v>
      </c>
      <c r="E58" s="7" t="s">
        <v>30</v>
      </c>
      <c r="F58" s="3" t="str">
        <f>"vobc_16.6_"&amp;ROW()-1</f>
        <v>vobc_16.6_57</v>
      </c>
      <c r="G58" s="3" t="s">
        <v>169</v>
      </c>
      <c r="H58" s="3" t="s">
        <v>32</v>
      </c>
      <c r="I58" s="4" t="s">
        <v>80</v>
      </c>
      <c r="J58" s="3" t="s">
        <v>171</v>
      </c>
      <c r="K58" s="2" t="s">
        <v>35</v>
      </c>
      <c r="L58" s="11">
        <v>45772</v>
      </c>
      <c r="M58" s="9" t="s">
        <v>36</v>
      </c>
      <c r="N58" s="12" t="s">
        <v>37</v>
      </c>
    </row>
    <row r="59" ht="57" spans="1:14">
      <c r="A59" s="8"/>
      <c r="B59" s="2" t="s">
        <v>27</v>
      </c>
      <c r="C59" s="2" t="s">
        <v>28</v>
      </c>
      <c r="D59" s="7" t="s">
        <v>29</v>
      </c>
      <c r="E59" s="7" t="s">
        <v>30</v>
      </c>
      <c r="F59" s="3" t="str">
        <f>"vobc_16.6_"&amp;ROW()-1</f>
        <v>vobc_16.6_58</v>
      </c>
      <c r="G59" s="3" t="s">
        <v>172</v>
      </c>
      <c r="H59" s="3" t="s">
        <v>32</v>
      </c>
      <c r="I59" s="4" t="s">
        <v>83</v>
      </c>
      <c r="J59" s="3" t="s">
        <v>173</v>
      </c>
      <c r="K59" s="2" t="s">
        <v>35</v>
      </c>
      <c r="L59" s="11">
        <v>45772</v>
      </c>
      <c r="M59" s="9" t="s">
        <v>36</v>
      </c>
      <c r="N59" s="12" t="s">
        <v>37</v>
      </c>
    </row>
    <row r="60" ht="42.75" spans="1:14">
      <c r="A60" s="8"/>
      <c r="B60" s="2" t="s">
        <v>27</v>
      </c>
      <c r="C60" s="2" t="s">
        <v>28</v>
      </c>
      <c r="D60" s="7" t="s">
        <v>29</v>
      </c>
      <c r="E60" s="7" t="s">
        <v>30</v>
      </c>
      <c r="F60" s="3" t="str">
        <f>"vobc_16.6_"&amp;ROW()-1</f>
        <v>vobc_16.6_59</v>
      </c>
      <c r="G60" s="3" t="s">
        <v>174</v>
      </c>
      <c r="H60" s="3" t="s">
        <v>32</v>
      </c>
      <c r="I60" s="4" t="s">
        <v>86</v>
      </c>
      <c r="J60" s="3" t="s">
        <v>175</v>
      </c>
      <c r="K60" s="2" t="s">
        <v>35</v>
      </c>
      <c r="L60" s="11">
        <v>45772</v>
      </c>
      <c r="M60" s="9" t="s">
        <v>36</v>
      </c>
      <c r="N60" s="12" t="s">
        <v>37</v>
      </c>
    </row>
    <row r="61" ht="42.75" spans="1:14">
      <c r="A61" s="8"/>
      <c r="B61" s="2" t="s">
        <v>27</v>
      </c>
      <c r="C61" s="2" t="s">
        <v>28</v>
      </c>
      <c r="D61" s="7" t="s">
        <v>29</v>
      </c>
      <c r="E61" s="7" t="s">
        <v>30</v>
      </c>
      <c r="F61" s="3" t="str">
        <f>"vobc_16.6_"&amp;ROW()-1</f>
        <v>vobc_16.6_60</v>
      </c>
      <c r="G61" s="3" t="s">
        <v>176</v>
      </c>
      <c r="H61" s="3" t="s">
        <v>32</v>
      </c>
      <c r="I61" s="4" t="s">
        <v>89</v>
      </c>
      <c r="J61" s="3" t="s">
        <v>177</v>
      </c>
      <c r="K61" s="2" t="s">
        <v>35</v>
      </c>
      <c r="L61" s="11">
        <v>45772</v>
      </c>
      <c r="M61" s="9" t="s">
        <v>36</v>
      </c>
      <c r="N61" s="12" t="s">
        <v>37</v>
      </c>
    </row>
    <row r="62" ht="42.75" spans="1:14">
      <c r="A62" s="8"/>
      <c r="B62" s="2" t="s">
        <v>27</v>
      </c>
      <c r="C62" s="2" t="s">
        <v>28</v>
      </c>
      <c r="D62" s="7" t="s">
        <v>29</v>
      </c>
      <c r="E62" s="7" t="s">
        <v>30</v>
      </c>
      <c r="F62" s="3" t="str">
        <f>"vobc_16.6_"&amp;ROW()-1</f>
        <v>vobc_16.6_61</v>
      </c>
      <c r="G62" s="3" t="s">
        <v>178</v>
      </c>
      <c r="H62" s="3" t="s">
        <v>32</v>
      </c>
      <c r="I62" s="4" t="s">
        <v>92</v>
      </c>
      <c r="J62" s="3" t="s">
        <v>179</v>
      </c>
      <c r="K62" s="2" t="s">
        <v>35</v>
      </c>
      <c r="L62" s="11">
        <v>45772</v>
      </c>
      <c r="M62" s="9" t="s">
        <v>36</v>
      </c>
      <c r="N62" s="12" t="s">
        <v>37</v>
      </c>
    </row>
    <row r="63" ht="42.75" spans="1:14">
      <c r="A63" s="8"/>
      <c r="B63" s="2" t="s">
        <v>27</v>
      </c>
      <c r="C63" s="2" t="s">
        <v>28</v>
      </c>
      <c r="D63" s="7" t="s">
        <v>29</v>
      </c>
      <c r="E63" s="7" t="s">
        <v>30</v>
      </c>
      <c r="F63" s="3" t="str">
        <f>"vobc_16.6_"&amp;ROW()-1</f>
        <v>vobc_16.6_62</v>
      </c>
      <c r="G63" s="3" t="s">
        <v>180</v>
      </c>
      <c r="H63" s="3" t="s">
        <v>32</v>
      </c>
      <c r="I63" s="4" t="s">
        <v>95</v>
      </c>
      <c r="J63" s="3" t="s">
        <v>181</v>
      </c>
      <c r="K63" s="2" t="s">
        <v>35</v>
      </c>
      <c r="L63" s="11">
        <v>45772</v>
      </c>
      <c r="M63" s="9" t="s">
        <v>36</v>
      </c>
      <c r="N63" s="12" t="s">
        <v>37</v>
      </c>
    </row>
    <row r="64" ht="42.75" spans="1:14">
      <c r="A64" s="8"/>
      <c r="B64" s="2" t="s">
        <v>27</v>
      </c>
      <c r="C64" s="2" t="s">
        <v>28</v>
      </c>
      <c r="D64" s="7" t="s">
        <v>29</v>
      </c>
      <c r="E64" s="7" t="s">
        <v>30</v>
      </c>
      <c r="F64" s="3" t="str">
        <f>"vobc_16.6_"&amp;ROW()-1</f>
        <v>vobc_16.6_63</v>
      </c>
      <c r="G64" s="3" t="s">
        <v>182</v>
      </c>
      <c r="H64" s="3" t="s">
        <v>32</v>
      </c>
      <c r="I64" s="4" t="s">
        <v>98</v>
      </c>
      <c r="J64" s="3" t="s">
        <v>183</v>
      </c>
      <c r="K64" s="2" t="s">
        <v>35</v>
      </c>
      <c r="L64" s="11">
        <v>45772</v>
      </c>
      <c r="M64" s="9" t="s">
        <v>36</v>
      </c>
      <c r="N64" s="12" t="s">
        <v>37</v>
      </c>
    </row>
    <row r="65" ht="42.75" spans="1:14">
      <c r="A65" s="8"/>
      <c r="B65" s="2" t="s">
        <v>27</v>
      </c>
      <c r="C65" s="2" t="s">
        <v>28</v>
      </c>
      <c r="D65" s="7" t="s">
        <v>29</v>
      </c>
      <c r="E65" s="7" t="s">
        <v>30</v>
      </c>
      <c r="F65" s="3" t="str">
        <f>"vobc_16.6_"&amp;ROW()-1</f>
        <v>vobc_16.6_64</v>
      </c>
      <c r="G65" s="3" t="s">
        <v>184</v>
      </c>
      <c r="H65" s="3" t="s">
        <v>32</v>
      </c>
      <c r="I65" s="4" t="s">
        <v>101</v>
      </c>
      <c r="J65" s="3" t="s">
        <v>185</v>
      </c>
      <c r="K65" s="2" t="s">
        <v>35</v>
      </c>
      <c r="L65" s="11">
        <v>45772</v>
      </c>
      <c r="M65" s="9" t="s">
        <v>36</v>
      </c>
      <c r="N65" s="12" t="s">
        <v>37</v>
      </c>
    </row>
    <row r="66" ht="42.75" spans="1:14">
      <c r="A66" s="8"/>
      <c r="B66" s="2" t="s">
        <v>27</v>
      </c>
      <c r="C66" s="2" t="s">
        <v>28</v>
      </c>
      <c r="D66" s="7" t="s">
        <v>29</v>
      </c>
      <c r="E66" s="7" t="s">
        <v>30</v>
      </c>
      <c r="F66" s="3" t="str">
        <f>"vobc_16.6_"&amp;ROW()-1</f>
        <v>vobc_16.6_65</v>
      </c>
      <c r="G66" s="3" t="s">
        <v>186</v>
      </c>
      <c r="H66" s="3" t="s">
        <v>32</v>
      </c>
      <c r="I66" s="4" t="s">
        <v>104</v>
      </c>
      <c r="J66" s="3" t="s">
        <v>187</v>
      </c>
      <c r="K66" s="2" t="s">
        <v>35</v>
      </c>
      <c r="L66" s="11">
        <v>45772</v>
      </c>
      <c r="M66" s="9" t="s">
        <v>36</v>
      </c>
      <c r="N66" s="12" t="s">
        <v>37</v>
      </c>
    </row>
    <row r="67" ht="42.75" spans="1:14">
      <c r="A67" s="8"/>
      <c r="B67" s="2" t="s">
        <v>27</v>
      </c>
      <c r="C67" s="2" t="s">
        <v>28</v>
      </c>
      <c r="D67" s="7" t="s">
        <v>29</v>
      </c>
      <c r="E67" s="7" t="s">
        <v>30</v>
      </c>
      <c r="F67" s="3" t="str">
        <f t="shared" ref="F67:F79" si="1">"vobc_16.6_"&amp;ROW()-1</f>
        <v>vobc_16.6_66</v>
      </c>
      <c r="G67" s="3" t="s">
        <v>188</v>
      </c>
      <c r="H67" s="3" t="s">
        <v>32</v>
      </c>
      <c r="I67" s="4" t="s">
        <v>107</v>
      </c>
      <c r="J67" s="3" t="s">
        <v>189</v>
      </c>
      <c r="K67" s="2" t="s">
        <v>35</v>
      </c>
      <c r="L67" s="11">
        <v>45772</v>
      </c>
      <c r="M67" s="9" t="s">
        <v>36</v>
      </c>
      <c r="N67" s="12" t="s">
        <v>37</v>
      </c>
    </row>
    <row r="68" ht="42.75" spans="1:14">
      <c r="A68" s="8"/>
      <c r="B68" s="2" t="s">
        <v>27</v>
      </c>
      <c r="C68" s="2" t="s">
        <v>28</v>
      </c>
      <c r="D68" s="7" t="s">
        <v>29</v>
      </c>
      <c r="E68" s="7" t="s">
        <v>30</v>
      </c>
      <c r="F68" s="3" t="str">
        <f t="shared" si="1"/>
        <v>vobc_16.6_67</v>
      </c>
      <c r="G68" s="3" t="s">
        <v>190</v>
      </c>
      <c r="H68" s="3" t="s">
        <v>44</v>
      </c>
      <c r="I68" s="4" t="s">
        <v>110</v>
      </c>
      <c r="J68" s="3" t="s">
        <v>191</v>
      </c>
      <c r="K68" s="2" t="s">
        <v>35</v>
      </c>
      <c r="L68" s="11">
        <v>45772</v>
      </c>
      <c r="M68" s="9" t="s">
        <v>36</v>
      </c>
      <c r="N68" s="12" t="s">
        <v>37</v>
      </c>
    </row>
    <row r="69" ht="42.75" spans="1:14">
      <c r="A69" s="8"/>
      <c r="B69" s="2" t="s">
        <v>27</v>
      </c>
      <c r="C69" s="2" t="s">
        <v>28</v>
      </c>
      <c r="D69" s="7" t="s">
        <v>29</v>
      </c>
      <c r="E69" s="7" t="s">
        <v>30</v>
      </c>
      <c r="F69" s="3" t="str">
        <f t="shared" si="1"/>
        <v>vobc_16.6_68</v>
      </c>
      <c r="G69" s="3" t="s">
        <v>192</v>
      </c>
      <c r="H69" s="3" t="s">
        <v>44</v>
      </c>
      <c r="I69" s="4" t="s">
        <v>113</v>
      </c>
      <c r="J69" s="3" t="s">
        <v>193</v>
      </c>
      <c r="K69" s="2" t="s">
        <v>35</v>
      </c>
      <c r="L69" s="11">
        <v>45772</v>
      </c>
      <c r="M69" s="9" t="s">
        <v>36</v>
      </c>
      <c r="N69" s="12" t="s">
        <v>37</v>
      </c>
    </row>
    <row r="70" ht="42.75" spans="1:14">
      <c r="A70" s="8"/>
      <c r="B70" s="2" t="s">
        <v>27</v>
      </c>
      <c r="C70" s="2" t="s">
        <v>28</v>
      </c>
      <c r="D70" s="7" t="s">
        <v>29</v>
      </c>
      <c r="E70" s="7" t="s">
        <v>30</v>
      </c>
      <c r="F70" s="3" t="str">
        <f t="shared" si="1"/>
        <v>vobc_16.6_69</v>
      </c>
      <c r="G70" s="3" t="s">
        <v>194</v>
      </c>
      <c r="H70" s="3" t="s">
        <v>44</v>
      </c>
      <c r="I70" s="4" t="s">
        <v>116</v>
      </c>
      <c r="J70" s="3" t="s">
        <v>195</v>
      </c>
      <c r="K70" s="2" t="s">
        <v>35</v>
      </c>
      <c r="L70" s="11">
        <v>45772</v>
      </c>
      <c r="M70" s="9" t="s">
        <v>36</v>
      </c>
      <c r="N70" s="12" t="s">
        <v>37</v>
      </c>
    </row>
    <row r="71" ht="42.75" spans="1:14">
      <c r="A71" s="8"/>
      <c r="B71" s="2" t="s">
        <v>27</v>
      </c>
      <c r="C71" s="2" t="s">
        <v>28</v>
      </c>
      <c r="D71" s="7" t="s">
        <v>29</v>
      </c>
      <c r="E71" s="7" t="s">
        <v>30</v>
      </c>
      <c r="F71" s="3" t="str">
        <f t="shared" si="1"/>
        <v>vobc_16.6_70</v>
      </c>
      <c r="G71" s="3" t="s">
        <v>196</v>
      </c>
      <c r="H71" s="3" t="s">
        <v>44</v>
      </c>
      <c r="I71" s="4" t="s">
        <v>119</v>
      </c>
      <c r="J71" s="3" t="s">
        <v>197</v>
      </c>
      <c r="K71" s="2" t="s">
        <v>35</v>
      </c>
      <c r="L71" s="11">
        <v>45772</v>
      </c>
      <c r="M71" s="9" t="s">
        <v>36</v>
      </c>
      <c r="N71" s="12" t="s">
        <v>37</v>
      </c>
    </row>
    <row r="72" ht="42.75" spans="1:14">
      <c r="A72" s="8"/>
      <c r="B72" s="2" t="s">
        <v>27</v>
      </c>
      <c r="C72" s="2" t="s">
        <v>28</v>
      </c>
      <c r="D72" s="7" t="s">
        <v>29</v>
      </c>
      <c r="E72" s="7" t="s">
        <v>30</v>
      </c>
      <c r="F72" s="3" t="str">
        <f t="shared" si="1"/>
        <v>vobc_16.6_71</v>
      </c>
      <c r="G72" s="3" t="s">
        <v>198</v>
      </c>
      <c r="H72" s="3" t="s">
        <v>44</v>
      </c>
      <c r="I72" s="4" t="s">
        <v>122</v>
      </c>
      <c r="J72" s="3" t="s">
        <v>199</v>
      </c>
      <c r="K72" s="2" t="s">
        <v>35</v>
      </c>
      <c r="L72" s="11">
        <v>45772</v>
      </c>
      <c r="M72" s="9" t="s">
        <v>36</v>
      </c>
      <c r="N72" s="12" t="s">
        <v>37</v>
      </c>
    </row>
    <row r="73" ht="42.75" spans="1:14">
      <c r="A73" s="8"/>
      <c r="B73" s="2" t="s">
        <v>27</v>
      </c>
      <c r="C73" s="2" t="s">
        <v>28</v>
      </c>
      <c r="D73" s="7" t="s">
        <v>29</v>
      </c>
      <c r="E73" s="7" t="s">
        <v>30</v>
      </c>
      <c r="F73" s="3" t="str">
        <f t="shared" si="1"/>
        <v>vobc_16.6_72</v>
      </c>
      <c r="G73" s="3" t="s">
        <v>200</v>
      </c>
      <c r="H73" s="3" t="s">
        <v>44</v>
      </c>
      <c r="I73" s="4" t="s">
        <v>125</v>
      </c>
      <c r="J73" s="3" t="s">
        <v>201</v>
      </c>
      <c r="K73" s="2" t="s">
        <v>35</v>
      </c>
      <c r="L73" s="11">
        <v>45772</v>
      </c>
      <c r="M73" s="9" t="s">
        <v>36</v>
      </c>
      <c r="N73" s="12" t="s">
        <v>37</v>
      </c>
    </row>
    <row r="74" ht="42.75" spans="1:14">
      <c r="A74" s="8"/>
      <c r="B74" s="2" t="s">
        <v>27</v>
      </c>
      <c r="C74" s="2" t="s">
        <v>28</v>
      </c>
      <c r="D74" s="7" t="s">
        <v>29</v>
      </c>
      <c r="E74" s="7" t="s">
        <v>30</v>
      </c>
      <c r="F74" s="3" t="str">
        <f t="shared" si="1"/>
        <v>vobc_16.6_73</v>
      </c>
      <c r="G74" s="3" t="s">
        <v>202</v>
      </c>
      <c r="H74" s="3" t="s">
        <v>44</v>
      </c>
      <c r="I74" s="4" t="s">
        <v>128</v>
      </c>
      <c r="J74" s="3" t="s">
        <v>203</v>
      </c>
      <c r="K74" s="2" t="s">
        <v>35</v>
      </c>
      <c r="L74" s="11">
        <v>45772</v>
      </c>
      <c r="M74" s="9" t="s">
        <v>36</v>
      </c>
      <c r="N74" s="12" t="s">
        <v>37</v>
      </c>
    </row>
    <row r="75" ht="42.75" spans="1:14">
      <c r="A75" s="8"/>
      <c r="B75" s="2" t="s">
        <v>27</v>
      </c>
      <c r="C75" s="2" t="s">
        <v>28</v>
      </c>
      <c r="D75" s="7" t="s">
        <v>29</v>
      </c>
      <c r="E75" s="7" t="s">
        <v>30</v>
      </c>
      <c r="F75" s="3" t="str">
        <f t="shared" si="1"/>
        <v>vobc_16.6_74</v>
      </c>
      <c r="G75" s="3" t="s">
        <v>204</v>
      </c>
      <c r="H75" s="3" t="s">
        <v>44</v>
      </c>
      <c r="I75" s="4" t="s">
        <v>131</v>
      </c>
      <c r="J75" s="3" t="s">
        <v>205</v>
      </c>
      <c r="K75" s="2" t="s">
        <v>35</v>
      </c>
      <c r="L75" s="11">
        <v>45772</v>
      </c>
      <c r="M75" s="9" t="s">
        <v>36</v>
      </c>
      <c r="N75" s="12" t="s">
        <v>37</v>
      </c>
    </row>
    <row r="76" ht="42.75" spans="1:14">
      <c r="A76" s="8"/>
      <c r="B76" s="2" t="s">
        <v>27</v>
      </c>
      <c r="C76" s="2" t="s">
        <v>28</v>
      </c>
      <c r="D76" s="7" t="s">
        <v>29</v>
      </c>
      <c r="E76" s="7" t="s">
        <v>30</v>
      </c>
      <c r="F76" s="3" t="str">
        <f t="shared" si="1"/>
        <v>vobc_16.6_75</v>
      </c>
      <c r="G76" s="3" t="s">
        <v>206</v>
      </c>
      <c r="H76" s="3" t="s">
        <v>32</v>
      </c>
      <c r="I76" s="4" t="s">
        <v>134</v>
      </c>
      <c r="J76" s="3" t="s">
        <v>143</v>
      </c>
      <c r="K76" s="2" t="s">
        <v>35</v>
      </c>
      <c r="L76" s="11">
        <v>45772</v>
      </c>
      <c r="M76" s="9" t="s">
        <v>36</v>
      </c>
      <c r="N76" s="12" t="s">
        <v>37</v>
      </c>
    </row>
    <row r="77" ht="42.75" spans="1:14">
      <c r="A77" s="8"/>
      <c r="B77" s="2" t="s">
        <v>27</v>
      </c>
      <c r="C77" s="2" t="s">
        <v>28</v>
      </c>
      <c r="D77" s="7" t="s">
        <v>29</v>
      </c>
      <c r="E77" s="7" t="s">
        <v>30</v>
      </c>
      <c r="F77" s="3" t="str">
        <f t="shared" si="1"/>
        <v>vobc_16.6_76</v>
      </c>
      <c r="G77" s="3" t="s">
        <v>207</v>
      </c>
      <c r="H77" s="3" t="s">
        <v>32</v>
      </c>
      <c r="I77" s="4" t="s">
        <v>136</v>
      </c>
      <c r="J77" s="3" t="s">
        <v>143</v>
      </c>
      <c r="K77" s="2" t="s">
        <v>35</v>
      </c>
      <c r="L77" s="11">
        <v>45772</v>
      </c>
      <c r="M77" s="9" t="s">
        <v>36</v>
      </c>
      <c r="N77" s="12" t="s">
        <v>37</v>
      </c>
    </row>
    <row r="78" ht="42.75" spans="1:14">
      <c r="A78" s="8"/>
      <c r="B78" s="2" t="s">
        <v>27</v>
      </c>
      <c r="C78" s="2" t="s">
        <v>28</v>
      </c>
      <c r="D78" s="7" t="s">
        <v>29</v>
      </c>
      <c r="E78" s="7" t="s">
        <v>30</v>
      </c>
      <c r="F78" s="3" t="str">
        <f t="shared" si="1"/>
        <v>vobc_16.6_77</v>
      </c>
      <c r="G78" s="3" t="s">
        <v>208</v>
      </c>
      <c r="H78" s="3" t="s">
        <v>44</v>
      </c>
      <c r="I78" s="4" t="s">
        <v>138</v>
      </c>
      <c r="J78" s="3" t="s">
        <v>148</v>
      </c>
      <c r="K78" s="2" t="s">
        <v>35</v>
      </c>
      <c r="L78" s="11">
        <v>45772</v>
      </c>
      <c r="M78" s="9" t="s">
        <v>36</v>
      </c>
      <c r="N78" s="12" t="s">
        <v>37</v>
      </c>
    </row>
    <row r="79" ht="42.75" spans="1:14">
      <c r="A79" s="14"/>
      <c r="B79" s="2" t="s">
        <v>27</v>
      </c>
      <c r="C79" s="2" t="s">
        <v>28</v>
      </c>
      <c r="D79" s="7" t="s">
        <v>29</v>
      </c>
      <c r="E79" s="7" t="s">
        <v>30</v>
      </c>
      <c r="F79" s="3" t="str">
        <f t="shared" si="1"/>
        <v>vobc_16.6_78</v>
      </c>
      <c r="G79" s="3" t="s">
        <v>209</v>
      </c>
      <c r="H79" s="3" t="s">
        <v>44</v>
      </c>
      <c r="I79" s="4" t="s">
        <v>140</v>
      </c>
      <c r="J79" s="3" t="s">
        <v>148</v>
      </c>
      <c r="K79" s="2" t="s">
        <v>35</v>
      </c>
      <c r="L79" s="11">
        <v>45772</v>
      </c>
      <c r="M79" s="9" t="s">
        <v>36</v>
      </c>
      <c r="N79" s="12" t="s">
        <v>37</v>
      </c>
    </row>
  </sheetData>
  <autoFilter xmlns:etc="http://www.wps.cn/officeDocument/2017/etCustomData" ref="A1:O79" etc:filterBottomFollowUsedRange="0">
    <extLst/>
  </autoFilter>
  <mergeCells count="2">
    <mergeCell ref="A2:A41"/>
    <mergeCell ref="A42:A79"/>
  </mergeCells>
  <conditionalFormatting sqref="D2">
    <cfRule type="cellIs" dxfId="0" priority="3997" operator="equal">
      <formula>"废弃"</formula>
    </cfRule>
    <cfRule type="cellIs" dxfId="1" priority="3998" operator="equal">
      <formula>"更新"</formula>
    </cfRule>
    <cfRule type="cellIs" dxfId="2" priority="3999" operator="equal">
      <formula>"优化"</formula>
    </cfRule>
    <cfRule type="cellIs" dxfId="3" priority="4000" operator="equal">
      <formula>"新增"</formula>
    </cfRule>
    <cfRule type="cellIs" dxfId="4" priority="4001" operator="equal">
      <formula>"IVOC"</formula>
    </cfRule>
    <cfRule type="cellIs" dxfId="5" priority="4002" operator="equal">
      <formula>"500/510"</formula>
    </cfRule>
    <cfRule type="cellIs" dxfId="6" priority="4003" operator="equal">
      <formula>"500/510/IVOC"</formula>
    </cfRule>
  </conditionalFormatting>
  <conditionalFormatting sqref="D2:E2">
    <cfRule type="cellIs" dxfId="7" priority="3990" operator="equal">
      <formula>"新增"</formula>
    </cfRule>
  </conditionalFormatting>
  <conditionalFormatting sqref="E2">
    <cfRule type="cellIs" dxfId="7" priority="3989" operator="equal">
      <formula>"是"</formula>
    </cfRule>
    <cfRule type="cellIs" dxfId="3" priority="3991" operator="equal">
      <formula>"是"</formula>
    </cfRule>
    <cfRule type="cellIs" dxfId="8" priority="3992" operator="equal">
      <formula>"否"</formula>
    </cfRule>
    <cfRule type="cellIs" dxfId="9" priority="3993" operator="equal">
      <formula>"是"</formula>
    </cfRule>
    <cfRule type="cellIs" dxfId="4" priority="3994" operator="equal">
      <formula>"IVOC"</formula>
    </cfRule>
    <cfRule type="cellIs" dxfId="5" priority="3995" operator="equal">
      <formula>"500/510"</formula>
    </cfRule>
    <cfRule type="cellIs" dxfId="6" priority="3996" operator="equal">
      <formula>"500/510/IVOC"</formula>
    </cfRule>
  </conditionalFormatting>
  <conditionalFormatting sqref="K2">
    <cfRule type="cellIs" dxfId="7" priority="3916" operator="equal">
      <formula>"通过"</formula>
    </cfRule>
    <cfRule type="cellIs" dxfId="10" priority="3908" operator="equal">
      <formula>"不通过"</formula>
    </cfRule>
    <cfRule type="cellIs" dxfId="11" priority="3900" operator="equal">
      <formula>"堵塞"</formula>
    </cfRule>
  </conditionalFormatting>
  <conditionalFormatting sqref="B3">
    <cfRule type="cellIs" dxfId="12" priority="1617" operator="equal">
      <formula>"1级"</formula>
    </cfRule>
    <cfRule type="cellIs" dxfId="3" priority="1616" operator="equal">
      <formula>"2级"</formula>
    </cfRule>
    <cfRule type="cellIs" dxfId="13" priority="1615" operator="equal">
      <formula>"3级"</formula>
    </cfRule>
  </conditionalFormatting>
  <conditionalFormatting sqref="D3">
    <cfRule type="cellIs" dxfId="6" priority="1614" operator="equal">
      <formula>"500/510/IVOC"</formula>
    </cfRule>
    <cfRule type="cellIs" dxfId="5" priority="1613" operator="equal">
      <formula>"500/510"</formula>
    </cfRule>
    <cfRule type="cellIs" dxfId="4" priority="1612" operator="equal">
      <formula>"IVOC"</formula>
    </cfRule>
    <cfRule type="cellIs" dxfId="3" priority="1611" operator="equal">
      <formula>"新增"</formula>
    </cfRule>
    <cfRule type="cellIs" dxfId="2" priority="1610" operator="equal">
      <formula>"优化"</formula>
    </cfRule>
    <cfRule type="cellIs" dxfId="1" priority="1609" operator="equal">
      <formula>"更新"</formula>
    </cfRule>
    <cfRule type="cellIs" dxfId="0" priority="1608" operator="equal">
      <formula>"废弃"</formula>
    </cfRule>
  </conditionalFormatting>
  <conditionalFormatting sqref="D3:E3">
    <cfRule type="cellIs" dxfId="7" priority="1601" operator="equal">
      <formula>"新增"</formula>
    </cfRule>
  </conditionalFormatting>
  <conditionalFormatting sqref="E3">
    <cfRule type="cellIs" dxfId="6" priority="1607" operator="equal">
      <formula>"500/510/IVOC"</formula>
    </cfRule>
    <cfRule type="cellIs" dxfId="5" priority="1606" operator="equal">
      <formula>"500/510"</formula>
    </cfRule>
    <cfRule type="cellIs" dxfId="4" priority="1605" operator="equal">
      <formula>"IVOC"</formula>
    </cfRule>
    <cfRule type="cellIs" dxfId="9" priority="1604" operator="equal">
      <formula>"是"</formula>
    </cfRule>
    <cfRule type="cellIs" dxfId="8" priority="1603" operator="equal">
      <formula>"否"</formula>
    </cfRule>
    <cfRule type="cellIs" dxfId="3" priority="1602" operator="equal">
      <formula>"是"</formula>
    </cfRule>
    <cfRule type="cellIs" dxfId="7" priority="1600" operator="equal">
      <formula>"是"</formula>
    </cfRule>
  </conditionalFormatting>
  <conditionalFormatting sqref="K3">
    <cfRule type="cellIs" dxfId="7" priority="1599" operator="equal">
      <formula>"通过"</formula>
    </cfRule>
    <cfRule type="cellIs" dxfId="10" priority="1598" operator="equal">
      <formula>"不通过"</formula>
    </cfRule>
    <cfRule type="cellIs" dxfId="11" priority="1597" operator="equal">
      <formula>"堵塞"</formula>
    </cfRule>
  </conditionalFormatting>
  <conditionalFormatting sqref="B4">
    <cfRule type="cellIs" dxfId="12" priority="1596" operator="equal">
      <formula>"1级"</formula>
    </cfRule>
    <cfRule type="cellIs" dxfId="3" priority="1595" operator="equal">
      <formula>"2级"</formula>
    </cfRule>
    <cfRule type="cellIs" dxfId="13" priority="1594" operator="equal">
      <formula>"3级"</formula>
    </cfRule>
  </conditionalFormatting>
  <conditionalFormatting sqref="D4">
    <cfRule type="cellIs" dxfId="6" priority="1593" operator="equal">
      <formula>"500/510/IVOC"</formula>
    </cfRule>
    <cfRule type="cellIs" dxfId="5" priority="1592" operator="equal">
      <formula>"500/510"</formula>
    </cfRule>
    <cfRule type="cellIs" dxfId="4" priority="1591" operator="equal">
      <formula>"IVOC"</formula>
    </cfRule>
    <cfRule type="cellIs" dxfId="3" priority="1590" operator="equal">
      <formula>"新增"</formula>
    </cfRule>
    <cfRule type="cellIs" dxfId="2" priority="1589" operator="equal">
      <formula>"优化"</formula>
    </cfRule>
    <cfRule type="cellIs" dxfId="1" priority="1588" operator="equal">
      <formula>"更新"</formula>
    </cfRule>
    <cfRule type="cellIs" dxfId="0" priority="1587" operator="equal">
      <formula>"废弃"</formula>
    </cfRule>
  </conditionalFormatting>
  <conditionalFormatting sqref="D4:E4">
    <cfRule type="cellIs" dxfId="7" priority="1580" operator="equal">
      <formula>"新增"</formula>
    </cfRule>
  </conditionalFormatting>
  <conditionalFormatting sqref="E4">
    <cfRule type="cellIs" dxfId="6" priority="1586" operator="equal">
      <formula>"500/510/IVOC"</formula>
    </cfRule>
    <cfRule type="cellIs" dxfId="5" priority="1585" operator="equal">
      <formula>"500/510"</formula>
    </cfRule>
    <cfRule type="cellIs" dxfId="4" priority="1584" operator="equal">
      <formula>"IVOC"</formula>
    </cfRule>
    <cfRule type="cellIs" dxfId="9" priority="1583" operator="equal">
      <formula>"是"</formula>
    </cfRule>
    <cfRule type="cellIs" dxfId="8" priority="1582" operator="equal">
      <formula>"否"</formula>
    </cfRule>
    <cfRule type="cellIs" dxfId="3" priority="1581" operator="equal">
      <formula>"是"</formula>
    </cfRule>
    <cfRule type="cellIs" dxfId="7" priority="1579" operator="equal">
      <formula>"是"</formula>
    </cfRule>
  </conditionalFormatting>
  <conditionalFormatting sqref="K4">
    <cfRule type="cellIs" dxfId="7" priority="1578" operator="equal">
      <formula>"通过"</formula>
    </cfRule>
    <cfRule type="cellIs" dxfId="10" priority="1577" operator="equal">
      <formula>"不通过"</formula>
    </cfRule>
    <cfRule type="cellIs" dxfId="11" priority="1576" operator="equal">
      <formula>"堵塞"</formula>
    </cfRule>
  </conditionalFormatting>
  <conditionalFormatting sqref="B5">
    <cfRule type="cellIs" dxfId="12" priority="1575" operator="equal">
      <formula>"1级"</formula>
    </cfRule>
    <cfRule type="cellIs" dxfId="3" priority="1574" operator="equal">
      <formula>"2级"</formula>
    </cfRule>
    <cfRule type="cellIs" dxfId="13" priority="1573" operator="equal">
      <formula>"3级"</formula>
    </cfRule>
  </conditionalFormatting>
  <conditionalFormatting sqref="D5">
    <cfRule type="cellIs" dxfId="6" priority="1572" operator="equal">
      <formula>"500/510/IVOC"</formula>
    </cfRule>
    <cfRule type="cellIs" dxfId="5" priority="1571" operator="equal">
      <formula>"500/510"</formula>
    </cfRule>
    <cfRule type="cellIs" dxfId="4" priority="1570" operator="equal">
      <formula>"IVOC"</formula>
    </cfRule>
    <cfRule type="cellIs" dxfId="3" priority="1569" operator="equal">
      <formula>"新增"</formula>
    </cfRule>
    <cfRule type="cellIs" dxfId="2" priority="1568" operator="equal">
      <formula>"优化"</formula>
    </cfRule>
    <cfRule type="cellIs" dxfId="1" priority="1567" operator="equal">
      <formula>"更新"</formula>
    </cfRule>
    <cfRule type="cellIs" dxfId="0" priority="1566" operator="equal">
      <formula>"废弃"</formula>
    </cfRule>
  </conditionalFormatting>
  <conditionalFormatting sqref="D5:E5">
    <cfRule type="cellIs" dxfId="7" priority="1559" operator="equal">
      <formula>"新增"</formula>
    </cfRule>
  </conditionalFormatting>
  <conditionalFormatting sqref="E5">
    <cfRule type="cellIs" dxfId="6" priority="1565" operator="equal">
      <formula>"500/510/IVOC"</formula>
    </cfRule>
    <cfRule type="cellIs" dxfId="5" priority="1564" operator="equal">
      <formula>"500/510"</formula>
    </cfRule>
    <cfRule type="cellIs" dxfId="4" priority="1563" operator="equal">
      <formula>"IVOC"</formula>
    </cfRule>
    <cfRule type="cellIs" dxfId="9" priority="1562" operator="equal">
      <formula>"是"</formula>
    </cfRule>
    <cfRule type="cellIs" dxfId="8" priority="1561" operator="equal">
      <formula>"否"</formula>
    </cfRule>
    <cfRule type="cellIs" dxfId="3" priority="1560" operator="equal">
      <formula>"是"</formula>
    </cfRule>
    <cfRule type="cellIs" dxfId="7" priority="1558" operator="equal">
      <formula>"是"</formula>
    </cfRule>
  </conditionalFormatting>
  <conditionalFormatting sqref="K5">
    <cfRule type="cellIs" dxfId="7" priority="1557" operator="equal">
      <formula>"通过"</formula>
    </cfRule>
    <cfRule type="cellIs" dxfId="10" priority="1556" operator="equal">
      <formula>"不通过"</formula>
    </cfRule>
    <cfRule type="cellIs" dxfId="11" priority="1555" operator="equal">
      <formula>"堵塞"</formula>
    </cfRule>
  </conditionalFormatting>
  <conditionalFormatting sqref="B6">
    <cfRule type="cellIs" dxfId="12" priority="1554" operator="equal">
      <formula>"1级"</formula>
    </cfRule>
    <cfRule type="cellIs" dxfId="3" priority="1553" operator="equal">
      <formula>"2级"</formula>
    </cfRule>
    <cfRule type="cellIs" dxfId="13" priority="1552" operator="equal">
      <formula>"3级"</formula>
    </cfRule>
  </conditionalFormatting>
  <conditionalFormatting sqref="D6">
    <cfRule type="cellIs" dxfId="6" priority="1551" operator="equal">
      <formula>"500/510/IVOC"</formula>
    </cfRule>
    <cfRule type="cellIs" dxfId="5" priority="1550" operator="equal">
      <formula>"500/510"</formula>
    </cfRule>
    <cfRule type="cellIs" dxfId="4" priority="1549" operator="equal">
      <formula>"IVOC"</formula>
    </cfRule>
    <cfRule type="cellIs" dxfId="3" priority="1548" operator="equal">
      <formula>"新增"</formula>
    </cfRule>
    <cfRule type="cellIs" dxfId="2" priority="1547" operator="equal">
      <formula>"优化"</formula>
    </cfRule>
    <cfRule type="cellIs" dxfId="1" priority="1546" operator="equal">
      <formula>"更新"</formula>
    </cfRule>
    <cfRule type="cellIs" dxfId="0" priority="1545" operator="equal">
      <formula>"废弃"</formula>
    </cfRule>
  </conditionalFormatting>
  <conditionalFormatting sqref="D6:E6">
    <cfRule type="cellIs" dxfId="7" priority="1538" operator="equal">
      <formula>"新增"</formula>
    </cfRule>
  </conditionalFormatting>
  <conditionalFormatting sqref="E6">
    <cfRule type="cellIs" dxfId="6" priority="1544" operator="equal">
      <formula>"500/510/IVOC"</formula>
    </cfRule>
    <cfRule type="cellIs" dxfId="5" priority="1543" operator="equal">
      <formula>"500/510"</formula>
    </cfRule>
    <cfRule type="cellIs" dxfId="4" priority="1542" operator="equal">
      <formula>"IVOC"</formula>
    </cfRule>
    <cfRule type="cellIs" dxfId="9" priority="1541" operator="equal">
      <formula>"是"</formula>
    </cfRule>
    <cfRule type="cellIs" dxfId="8" priority="1540" operator="equal">
      <formula>"否"</formula>
    </cfRule>
    <cfRule type="cellIs" dxfId="3" priority="1539" operator="equal">
      <formula>"是"</formula>
    </cfRule>
    <cfRule type="cellIs" dxfId="7" priority="1537" operator="equal">
      <formula>"是"</formula>
    </cfRule>
  </conditionalFormatting>
  <conditionalFormatting sqref="K6">
    <cfRule type="cellIs" dxfId="7" priority="1536" operator="equal">
      <formula>"通过"</formula>
    </cfRule>
    <cfRule type="cellIs" dxfId="10" priority="1535" operator="equal">
      <formula>"不通过"</formula>
    </cfRule>
    <cfRule type="cellIs" dxfId="11" priority="1534" operator="equal">
      <formula>"堵塞"</formula>
    </cfRule>
  </conditionalFormatting>
  <conditionalFormatting sqref="B7">
    <cfRule type="cellIs" dxfId="12" priority="1533" operator="equal">
      <formula>"1级"</formula>
    </cfRule>
    <cfRule type="cellIs" dxfId="3" priority="1532" operator="equal">
      <formula>"2级"</formula>
    </cfRule>
    <cfRule type="cellIs" dxfId="13" priority="1531" operator="equal">
      <formula>"3级"</formula>
    </cfRule>
  </conditionalFormatting>
  <conditionalFormatting sqref="D7">
    <cfRule type="cellIs" dxfId="6" priority="1530" operator="equal">
      <formula>"500/510/IVOC"</formula>
    </cfRule>
    <cfRule type="cellIs" dxfId="5" priority="1529" operator="equal">
      <formula>"500/510"</formula>
    </cfRule>
    <cfRule type="cellIs" dxfId="4" priority="1528" operator="equal">
      <formula>"IVOC"</formula>
    </cfRule>
    <cfRule type="cellIs" dxfId="3" priority="1527" operator="equal">
      <formula>"新增"</formula>
    </cfRule>
    <cfRule type="cellIs" dxfId="2" priority="1526" operator="equal">
      <formula>"优化"</formula>
    </cfRule>
    <cfRule type="cellIs" dxfId="1" priority="1525" operator="equal">
      <formula>"更新"</formula>
    </cfRule>
    <cfRule type="cellIs" dxfId="0" priority="1524" operator="equal">
      <formula>"废弃"</formula>
    </cfRule>
  </conditionalFormatting>
  <conditionalFormatting sqref="D7:E7">
    <cfRule type="cellIs" dxfId="7" priority="1517" operator="equal">
      <formula>"新增"</formula>
    </cfRule>
  </conditionalFormatting>
  <conditionalFormatting sqref="E7">
    <cfRule type="cellIs" dxfId="6" priority="1523" operator="equal">
      <formula>"500/510/IVOC"</formula>
    </cfRule>
    <cfRule type="cellIs" dxfId="5" priority="1522" operator="equal">
      <formula>"500/510"</formula>
    </cfRule>
    <cfRule type="cellIs" dxfId="4" priority="1521" operator="equal">
      <formula>"IVOC"</formula>
    </cfRule>
    <cfRule type="cellIs" dxfId="9" priority="1520" operator="equal">
      <formula>"是"</formula>
    </cfRule>
    <cfRule type="cellIs" dxfId="8" priority="1519" operator="equal">
      <formula>"否"</formula>
    </cfRule>
    <cfRule type="cellIs" dxfId="3" priority="1518" operator="equal">
      <formula>"是"</formula>
    </cfRule>
    <cfRule type="cellIs" dxfId="7" priority="1516" operator="equal">
      <formula>"是"</formula>
    </cfRule>
  </conditionalFormatting>
  <conditionalFormatting sqref="K7">
    <cfRule type="cellIs" dxfId="7" priority="1515" operator="equal">
      <formula>"通过"</formula>
    </cfRule>
    <cfRule type="cellIs" dxfId="10" priority="1514" operator="equal">
      <formula>"不通过"</formula>
    </cfRule>
    <cfRule type="cellIs" dxfId="11" priority="1513" operator="equal">
      <formula>"堵塞"</formula>
    </cfRule>
  </conditionalFormatting>
  <conditionalFormatting sqref="B8">
    <cfRule type="cellIs" dxfId="12" priority="1512" operator="equal">
      <formula>"1级"</formula>
    </cfRule>
    <cfRule type="cellIs" dxfId="3" priority="1511" operator="equal">
      <formula>"2级"</formula>
    </cfRule>
    <cfRule type="cellIs" dxfId="13" priority="1510" operator="equal">
      <formula>"3级"</formula>
    </cfRule>
  </conditionalFormatting>
  <conditionalFormatting sqref="D8">
    <cfRule type="cellIs" dxfId="6" priority="1509" operator="equal">
      <formula>"500/510/IVOC"</formula>
    </cfRule>
    <cfRule type="cellIs" dxfId="5" priority="1508" operator="equal">
      <formula>"500/510"</formula>
    </cfRule>
    <cfRule type="cellIs" dxfId="4" priority="1507" operator="equal">
      <formula>"IVOC"</formula>
    </cfRule>
    <cfRule type="cellIs" dxfId="3" priority="1506" operator="equal">
      <formula>"新增"</formula>
    </cfRule>
    <cfRule type="cellIs" dxfId="2" priority="1505" operator="equal">
      <formula>"优化"</formula>
    </cfRule>
    <cfRule type="cellIs" dxfId="1" priority="1504" operator="equal">
      <formula>"更新"</formula>
    </cfRule>
    <cfRule type="cellIs" dxfId="0" priority="1503" operator="equal">
      <formula>"废弃"</formula>
    </cfRule>
  </conditionalFormatting>
  <conditionalFormatting sqref="D8:E8">
    <cfRule type="cellIs" dxfId="7" priority="1496" operator="equal">
      <formula>"新增"</formula>
    </cfRule>
  </conditionalFormatting>
  <conditionalFormatting sqref="E8">
    <cfRule type="cellIs" dxfId="6" priority="1502" operator="equal">
      <formula>"500/510/IVOC"</formula>
    </cfRule>
    <cfRule type="cellIs" dxfId="5" priority="1501" operator="equal">
      <formula>"500/510"</formula>
    </cfRule>
    <cfRule type="cellIs" dxfId="4" priority="1500" operator="equal">
      <formula>"IVOC"</formula>
    </cfRule>
    <cfRule type="cellIs" dxfId="9" priority="1499" operator="equal">
      <formula>"是"</formula>
    </cfRule>
    <cfRule type="cellIs" dxfId="8" priority="1498" operator="equal">
      <formula>"否"</formula>
    </cfRule>
    <cfRule type="cellIs" dxfId="3" priority="1497" operator="equal">
      <formula>"是"</formula>
    </cfRule>
    <cfRule type="cellIs" dxfId="7" priority="1495" operator="equal">
      <formula>"是"</formula>
    </cfRule>
  </conditionalFormatting>
  <conditionalFormatting sqref="K8">
    <cfRule type="cellIs" dxfId="7" priority="1494" operator="equal">
      <formula>"通过"</formula>
    </cfRule>
    <cfRule type="cellIs" dxfId="10" priority="1493" operator="equal">
      <formula>"不通过"</formula>
    </cfRule>
    <cfRule type="cellIs" dxfId="11" priority="1492" operator="equal">
      <formula>"堵塞"</formula>
    </cfRule>
  </conditionalFormatting>
  <conditionalFormatting sqref="B9">
    <cfRule type="cellIs" dxfId="12" priority="1491" operator="equal">
      <formula>"1级"</formula>
    </cfRule>
    <cfRule type="cellIs" dxfId="3" priority="1490" operator="equal">
      <formula>"2级"</formula>
    </cfRule>
    <cfRule type="cellIs" dxfId="13" priority="1489" operator="equal">
      <formula>"3级"</formula>
    </cfRule>
  </conditionalFormatting>
  <conditionalFormatting sqref="D9">
    <cfRule type="cellIs" dxfId="6" priority="1488" operator="equal">
      <formula>"500/510/IVOC"</formula>
    </cfRule>
    <cfRule type="cellIs" dxfId="5" priority="1487" operator="equal">
      <formula>"500/510"</formula>
    </cfRule>
    <cfRule type="cellIs" dxfId="4" priority="1486" operator="equal">
      <formula>"IVOC"</formula>
    </cfRule>
    <cfRule type="cellIs" dxfId="3" priority="1485" operator="equal">
      <formula>"新增"</formula>
    </cfRule>
    <cfRule type="cellIs" dxfId="2" priority="1484" operator="equal">
      <formula>"优化"</formula>
    </cfRule>
    <cfRule type="cellIs" dxfId="1" priority="1483" operator="equal">
      <formula>"更新"</formula>
    </cfRule>
    <cfRule type="cellIs" dxfId="0" priority="1482" operator="equal">
      <formula>"废弃"</formula>
    </cfRule>
  </conditionalFormatting>
  <conditionalFormatting sqref="D9:E9">
    <cfRule type="cellIs" dxfId="7" priority="1475" operator="equal">
      <formula>"新增"</formula>
    </cfRule>
  </conditionalFormatting>
  <conditionalFormatting sqref="E9">
    <cfRule type="cellIs" dxfId="6" priority="1481" operator="equal">
      <formula>"500/510/IVOC"</formula>
    </cfRule>
    <cfRule type="cellIs" dxfId="5" priority="1480" operator="equal">
      <formula>"500/510"</formula>
    </cfRule>
    <cfRule type="cellIs" dxfId="4" priority="1479" operator="equal">
      <formula>"IVOC"</formula>
    </cfRule>
    <cfRule type="cellIs" dxfId="9" priority="1478" operator="equal">
      <formula>"是"</formula>
    </cfRule>
    <cfRule type="cellIs" dxfId="8" priority="1477" operator="equal">
      <formula>"否"</formula>
    </cfRule>
    <cfRule type="cellIs" dxfId="3" priority="1476" operator="equal">
      <formula>"是"</formula>
    </cfRule>
    <cfRule type="cellIs" dxfId="7" priority="1474" operator="equal">
      <formula>"是"</formula>
    </cfRule>
  </conditionalFormatting>
  <conditionalFormatting sqref="K9">
    <cfRule type="cellIs" dxfId="7" priority="1473" operator="equal">
      <formula>"通过"</formula>
    </cfRule>
    <cfRule type="cellIs" dxfId="10" priority="1472" operator="equal">
      <formula>"不通过"</formula>
    </cfRule>
    <cfRule type="cellIs" dxfId="11" priority="1471" operator="equal">
      <formula>"堵塞"</formula>
    </cfRule>
  </conditionalFormatting>
  <conditionalFormatting sqref="B10">
    <cfRule type="cellIs" dxfId="12" priority="1470" operator="equal">
      <formula>"1级"</formula>
    </cfRule>
    <cfRule type="cellIs" dxfId="3" priority="1469" operator="equal">
      <formula>"2级"</formula>
    </cfRule>
    <cfRule type="cellIs" dxfId="13" priority="1468" operator="equal">
      <formula>"3级"</formula>
    </cfRule>
  </conditionalFormatting>
  <conditionalFormatting sqref="D10">
    <cfRule type="cellIs" dxfId="6" priority="1467" operator="equal">
      <formula>"500/510/IVOC"</formula>
    </cfRule>
    <cfRule type="cellIs" dxfId="5" priority="1466" operator="equal">
      <formula>"500/510"</formula>
    </cfRule>
    <cfRule type="cellIs" dxfId="4" priority="1465" operator="equal">
      <formula>"IVOC"</formula>
    </cfRule>
    <cfRule type="cellIs" dxfId="3" priority="1464" operator="equal">
      <formula>"新增"</formula>
    </cfRule>
    <cfRule type="cellIs" dxfId="2" priority="1463" operator="equal">
      <formula>"优化"</formula>
    </cfRule>
    <cfRule type="cellIs" dxfId="1" priority="1462" operator="equal">
      <formula>"更新"</formula>
    </cfRule>
    <cfRule type="cellIs" dxfId="0" priority="1461" operator="equal">
      <formula>"废弃"</formula>
    </cfRule>
  </conditionalFormatting>
  <conditionalFormatting sqref="D10:E10">
    <cfRule type="cellIs" dxfId="7" priority="1454" operator="equal">
      <formula>"新增"</formula>
    </cfRule>
  </conditionalFormatting>
  <conditionalFormatting sqref="E10">
    <cfRule type="cellIs" dxfId="6" priority="1460" operator="equal">
      <formula>"500/510/IVOC"</formula>
    </cfRule>
    <cfRule type="cellIs" dxfId="5" priority="1459" operator="equal">
      <formula>"500/510"</formula>
    </cfRule>
    <cfRule type="cellIs" dxfId="4" priority="1458" operator="equal">
      <formula>"IVOC"</formula>
    </cfRule>
    <cfRule type="cellIs" dxfId="9" priority="1457" operator="equal">
      <formula>"是"</formula>
    </cfRule>
    <cfRule type="cellIs" dxfId="8" priority="1456" operator="equal">
      <formula>"否"</formula>
    </cfRule>
    <cfRule type="cellIs" dxfId="3" priority="1455" operator="equal">
      <formula>"是"</formula>
    </cfRule>
    <cfRule type="cellIs" dxfId="7" priority="1453" operator="equal">
      <formula>"是"</formula>
    </cfRule>
  </conditionalFormatting>
  <conditionalFormatting sqref="K10">
    <cfRule type="cellIs" dxfId="7" priority="1452" operator="equal">
      <formula>"通过"</formula>
    </cfRule>
    <cfRule type="cellIs" dxfId="10" priority="1451" operator="equal">
      <formula>"不通过"</formula>
    </cfRule>
    <cfRule type="cellIs" dxfId="11" priority="1450" operator="equal">
      <formula>"堵塞"</formula>
    </cfRule>
  </conditionalFormatting>
  <conditionalFormatting sqref="B11">
    <cfRule type="cellIs" dxfId="12" priority="1449" operator="equal">
      <formula>"1级"</formula>
    </cfRule>
    <cfRule type="cellIs" dxfId="3" priority="1448" operator="equal">
      <formula>"2级"</formula>
    </cfRule>
    <cfRule type="cellIs" dxfId="13" priority="1447" operator="equal">
      <formula>"3级"</formula>
    </cfRule>
  </conditionalFormatting>
  <conditionalFormatting sqref="D11">
    <cfRule type="cellIs" dxfId="6" priority="1446" operator="equal">
      <formula>"500/510/IVOC"</formula>
    </cfRule>
    <cfRule type="cellIs" dxfId="5" priority="1445" operator="equal">
      <formula>"500/510"</formula>
    </cfRule>
    <cfRule type="cellIs" dxfId="4" priority="1444" operator="equal">
      <formula>"IVOC"</formula>
    </cfRule>
    <cfRule type="cellIs" dxfId="3" priority="1443" operator="equal">
      <formula>"新增"</formula>
    </cfRule>
    <cfRule type="cellIs" dxfId="2" priority="1442" operator="equal">
      <formula>"优化"</formula>
    </cfRule>
    <cfRule type="cellIs" dxfId="1" priority="1441" operator="equal">
      <formula>"更新"</formula>
    </cfRule>
    <cfRule type="cellIs" dxfId="0" priority="1440" operator="equal">
      <formula>"废弃"</formula>
    </cfRule>
  </conditionalFormatting>
  <conditionalFormatting sqref="D11:E11">
    <cfRule type="cellIs" dxfId="7" priority="1433" operator="equal">
      <formula>"新增"</formula>
    </cfRule>
  </conditionalFormatting>
  <conditionalFormatting sqref="E11">
    <cfRule type="cellIs" dxfId="6" priority="1439" operator="equal">
      <formula>"500/510/IVOC"</formula>
    </cfRule>
    <cfRule type="cellIs" dxfId="5" priority="1438" operator="equal">
      <formula>"500/510"</formula>
    </cfRule>
    <cfRule type="cellIs" dxfId="4" priority="1437" operator="equal">
      <formula>"IVOC"</formula>
    </cfRule>
    <cfRule type="cellIs" dxfId="9" priority="1436" operator="equal">
      <formula>"是"</formula>
    </cfRule>
    <cfRule type="cellIs" dxfId="8" priority="1435" operator="equal">
      <formula>"否"</formula>
    </cfRule>
    <cfRule type="cellIs" dxfId="3" priority="1434" operator="equal">
      <formula>"是"</formula>
    </cfRule>
    <cfRule type="cellIs" dxfId="7" priority="1432" operator="equal">
      <formula>"是"</formula>
    </cfRule>
  </conditionalFormatting>
  <conditionalFormatting sqref="K11">
    <cfRule type="cellIs" dxfId="7" priority="1431" operator="equal">
      <formula>"通过"</formula>
    </cfRule>
    <cfRule type="cellIs" dxfId="10" priority="1430" operator="equal">
      <formula>"不通过"</formula>
    </cfRule>
    <cfRule type="cellIs" dxfId="11" priority="1429" operator="equal">
      <formula>"堵塞"</formula>
    </cfRule>
  </conditionalFormatting>
  <conditionalFormatting sqref="B12">
    <cfRule type="cellIs" dxfId="12" priority="1428" operator="equal">
      <formula>"1级"</formula>
    </cfRule>
    <cfRule type="cellIs" dxfId="3" priority="1427" operator="equal">
      <formula>"2级"</formula>
    </cfRule>
    <cfRule type="cellIs" dxfId="13" priority="1426" operator="equal">
      <formula>"3级"</formula>
    </cfRule>
  </conditionalFormatting>
  <conditionalFormatting sqref="D12">
    <cfRule type="cellIs" dxfId="6" priority="1425" operator="equal">
      <formula>"500/510/IVOC"</formula>
    </cfRule>
    <cfRule type="cellIs" dxfId="5" priority="1424" operator="equal">
      <formula>"500/510"</formula>
    </cfRule>
    <cfRule type="cellIs" dxfId="4" priority="1423" operator="equal">
      <formula>"IVOC"</formula>
    </cfRule>
    <cfRule type="cellIs" dxfId="3" priority="1422" operator="equal">
      <formula>"新增"</formula>
    </cfRule>
    <cfRule type="cellIs" dxfId="2" priority="1421" operator="equal">
      <formula>"优化"</formula>
    </cfRule>
    <cfRule type="cellIs" dxfId="1" priority="1420" operator="equal">
      <formula>"更新"</formula>
    </cfRule>
    <cfRule type="cellIs" dxfId="0" priority="1419" operator="equal">
      <formula>"废弃"</formula>
    </cfRule>
  </conditionalFormatting>
  <conditionalFormatting sqref="D12:E12">
    <cfRule type="cellIs" dxfId="7" priority="1412" operator="equal">
      <formula>"新增"</formula>
    </cfRule>
  </conditionalFormatting>
  <conditionalFormatting sqref="E12">
    <cfRule type="cellIs" dxfId="6" priority="1418" operator="equal">
      <formula>"500/510/IVOC"</formula>
    </cfRule>
    <cfRule type="cellIs" dxfId="5" priority="1417" operator="equal">
      <formula>"500/510"</formula>
    </cfRule>
    <cfRule type="cellIs" dxfId="4" priority="1416" operator="equal">
      <formula>"IVOC"</formula>
    </cfRule>
    <cfRule type="cellIs" dxfId="9" priority="1415" operator="equal">
      <formula>"是"</formula>
    </cfRule>
    <cfRule type="cellIs" dxfId="8" priority="1414" operator="equal">
      <formula>"否"</formula>
    </cfRule>
    <cfRule type="cellIs" dxfId="3" priority="1413" operator="equal">
      <formula>"是"</formula>
    </cfRule>
    <cfRule type="cellIs" dxfId="7" priority="1411" operator="equal">
      <formula>"是"</formula>
    </cfRule>
  </conditionalFormatting>
  <conditionalFormatting sqref="K12">
    <cfRule type="cellIs" dxfId="7" priority="1410" operator="equal">
      <formula>"通过"</formula>
    </cfRule>
    <cfRule type="cellIs" dxfId="10" priority="1409" operator="equal">
      <formula>"不通过"</formula>
    </cfRule>
    <cfRule type="cellIs" dxfId="11" priority="1408" operator="equal">
      <formula>"堵塞"</formula>
    </cfRule>
  </conditionalFormatting>
  <conditionalFormatting sqref="B13">
    <cfRule type="cellIs" dxfId="12" priority="1407" operator="equal">
      <formula>"1级"</formula>
    </cfRule>
    <cfRule type="cellIs" dxfId="3" priority="1406" operator="equal">
      <formula>"2级"</formula>
    </cfRule>
    <cfRule type="cellIs" dxfId="13" priority="1405" operator="equal">
      <formula>"3级"</formula>
    </cfRule>
  </conditionalFormatting>
  <conditionalFormatting sqref="D13">
    <cfRule type="cellIs" dxfId="6" priority="1404" operator="equal">
      <formula>"500/510/IVOC"</formula>
    </cfRule>
    <cfRule type="cellIs" dxfId="5" priority="1403" operator="equal">
      <formula>"500/510"</formula>
    </cfRule>
    <cfRule type="cellIs" dxfId="4" priority="1402" operator="equal">
      <formula>"IVOC"</formula>
    </cfRule>
    <cfRule type="cellIs" dxfId="3" priority="1401" operator="equal">
      <formula>"新增"</formula>
    </cfRule>
    <cfRule type="cellIs" dxfId="2" priority="1400" operator="equal">
      <formula>"优化"</formula>
    </cfRule>
    <cfRule type="cellIs" dxfId="1" priority="1399" operator="equal">
      <formula>"更新"</formula>
    </cfRule>
    <cfRule type="cellIs" dxfId="0" priority="1398" operator="equal">
      <formula>"废弃"</formula>
    </cfRule>
  </conditionalFormatting>
  <conditionalFormatting sqref="D13:E13">
    <cfRule type="cellIs" dxfId="7" priority="1391" operator="equal">
      <formula>"新增"</formula>
    </cfRule>
  </conditionalFormatting>
  <conditionalFormatting sqref="E13">
    <cfRule type="cellIs" dxfId="6" priority="1397" operator="equal">
      <formula>"500/510/IVOC"</formula>
    </cfRule>
    <cfRule type="cellIs" dxfId="5" priority="1396" operator="equal">
      <formula>"500/510"</formula>
    </cfRule>
    <cfRule type="cellIs" dxfId="4" priority="1395" operator="equal">
      <formula>"IVOC"</formula>
    </cfRule>
    <cfRule type="cellIs" dxfId="9" priority="1394" operator="equal">
      <formula>"是"</formula>
    </cfRule>
    <cfRule type="cellIs" dxfId="8" priority="1393" operator="equal">
      <formula>"否"</formula>
    </cfRule>
    <cfRule type="cellIs" dxfId="3" priority="1392" operator="equal">
      <formula>"是"</formula>
    </cfRule>
    <cfRule type="cellIs" dxfId="7" priority="1390" operator="equal">
      <formula>"是"</formula>
    </cfRule>
  </conditionalFormatting>
  <conditionalFormatting sqref="K13">
    <cfRule type="cellIs" dxfId="7" priority="1389" operator="equal">
      <formula>"通过"</formula>
    </cfRule>
    <cfRule type="cellIs" dxfId="10" priority="1388" operator="equal">
      <formula>"不通过"</formula>
    </cfRule>
    <cfRule type="cellIs" dxfId="11" priority="1387" operator="equal">
      <formula>"堵塞"</formula>
    </cfRule>
  </conditionalFormatting>
  <conditionalFormatting sqref="B14">
    <cfRule type="cellIs" dxfId="12" priority="1386" operator="equal">
      <formula>"1级"</formula>
    </cfRule>
    <cfRule type="cellIs" dxfId="3" priority="1385" operator="equal">
      <formula>"2级"</formula>
    </cfRule>
    <cfRule type="cellIs" dxfId="13" priority="1384" operator="equal">
      <formula>"3级"</formula>
    </cfRule>
  </conditionalFormatting>
  <conditionalFormatting sqref="D14">
    <cfRule type="cellIs" dxfId="6" priority="1383" operator="equal">
      <formula>"500/510/IVOC"</formula>
    </cfRule>
    <cfRule type="cellIs" dxfId="5" priority="1382" operator="equal">
      <formula>"500/510"</formula>
    </cfRule>
    <cfRule type="cellIs" dxfId="4" priority="1381" operator="equal">
      <formula>"IVOC"</formula>
    </cfRule>
    <cfRule type="cellIs" dxfId="3" priority="1380" operator="equal">
      <formula>"新增"</formula>
    </cfRule>
    <cfRule type="cellIs" dxfId="2" priority="1379" operator="equal">
      <formula>"优化"</formula>
    </cfRule>
    <cfRule type="cellIs" dxfId="1" priority="1378" operator="equal">
      <formula>"更新"</formula>
    </cfRule>
    <cfRule type="cellIs" dxfId="0" priority="1377" operator="equal">
      <formula>"废弃"</formula>
    </cfRule>
  </conditionalFormatting>
  <conditionalFormatting sqref="D14:E14">
    <cfRule type="cellIs" dxfId="7" priority="1370" operator="equal">
      <formula>"新增"</formula>
    </cfRule>
  </conditionalFormatting>
  <conditionalFormatting sqref="E14">
    <cfRule type="cellIs" dxfId="6" priority="1376" operator="equal">
      <formula>"500/510/IVOC"</formula>
    </cfRule>
    <cfRule type="cellIs" dxfId="5" priority="1375" operator="equal">
      <formula>"500/510"</formula>
    </cfRule>
    <cfRule type="cellIs" dxfId="4" priority="1374" operator="equal">
      <formula>"IVOC"</formula>
    </cfRule>
    <cfRule type="cellIs" dxfId="9" priority="1373" operator="equal">
      <formula>"是"</formula>
    </cfRule>
    <cfRule type="cellIs" dxfId="8" priority="1372" operator="equal">
      <formula>"否"</formula>
    </cfRule>
    <cfRule type="cellIs" dxfId="3" priority="1371" operator="equal">
      <formula>"是"</formula>
    </cfRule>
    <cfRule type="cellIs" dxfId="7" priority="1369" operator="equal">
      <formula>"是"</formula>
    </cfRule>
  </conditionalFormatting>
  <conditionalFormatting sqref="K14">
    <cfRule type="cellIs" dxfId="7" priority="1368" operator="equal">
      <formula>"通过"</formula>
    </cfRule>
    <cfRule type="cellIs" dxfId="10" priority="1367" operator="equal">
      <formula>"不通过"</formula>
    </cfRule>
    <cfRule type="cellIs" dxfId="11" priority="1366" operator="equal">
      <formula>"堵塞"</formula>
    </cfRule>
  </conditionalFormatting>
  <conditionalFormatting sqref="B15">
    <cfRule type="cellIs" dxfId="12" priority="1365" operator="equal">
      <formula>"1级"</formula>
    </cfRule>
    <cfRule type="cellIs" dxfId="3" priority="1364" operator="equal">
      <formula>"2级"</formula>
    </cfRule>
    <cfRule type="cellIs" dxfId="13" priority="1363" operator="equal">
      <formula>"3级"</formula>
    </cfRule>
  </conditionalFormatting>
  <conditionalFormatting sqref="D15">
    <cfRule type="cellIs" dxfId="6" priority="1362" operator="equal">
      <formula>"500/510/IVOC"</formula>
    </cfRule>
    <cfRule type="cellIs" dxfId="5" priority="1361" operator="equal">
      <formula>"500/510"</formula>
    </cfRule>
    <cfRule type="cellIs" dxfId="4" priority="1360" operator="equal">
      <formula>"IVOC"</formula>
    </cfRule>
    <cfRule type="cellIs" dxfId="3" priority="1359" operator="equal">
      <formula>"新增"</formula>
    </cfRule>
    <cfRule type="cellIs" dxfId="2" priority="1358" operator="equal">
      <formula>"优化"</formula>
    </cfRule>
    <cfRule type="cellIs" dxfId="1" priority="1357" operator="equal">
      <formula>"更新"</formula>
    </cfRule>
    <cfRule type="cellIs" dxfId="0" priority="1356" operator="equal">
      <formula>"废弃"</formula>
    </cfRule>
  </conditionalFormatting>
  <conditionalFormatting sqref="D15:E15">
    <cfRule type="cellIs" dxfId="7" priority="1349" operator="equal">
      <formula>"新增"</formula>
    </cfRule>
  </conditionalFormatting>
  <conditionalFormatting sqref="E15">
    <cfRule type="cellIs" dxfId="6" priority="1355" operator="equal">
      <formula>"500/510/IVOC"</formula>
    </cfRule>
    <cfRule type="cellIs" dxfId="5" priority="1354" operator="equal">
      <formula>"500/510"</formula>
    </cfRule>
    <cfRule type="cellIs" dxfId="4" priority="1353" operator="equal">
      <formula>"IVOC"</formula>
    </cfRule>
    <cfRule type="cellIs" dxfId="9" priority="1352" operator="equal">
      <formula>"是"</formula>
    </cfRule>
    <cfRule type="cellIs" dxfId="8" priority="1351" operator="equal">
      <formula>"否"</formula>
    </cfRule>
    <cfRule type="cellIs" dxfId="3" priority="1350" operator="equal">
      <formula>"是"</formula>
    </cfRule>
    <cfRule type="cellIs" dxfId="7" priority="1348" operator="equal">
      <formula>"是"</formula>
    </cfRule>
  </conditionalFormatting>
  <conditionalFormatting sqref="K15">
    <cfRule type="cellIs" dxfId="7" priority="1347" operator="equal">
      <formula>"通过"</formula>
    </cfRule>
    <cfRule type="cellIs" dxfId="10" priority="1346" operator="equal">
      <formula>"不通过"</formula>
    </cfRule>
    <cfRule type="cellIs" dxfId="11" priority="1345" operator="equal">
      <formula>"堵塞"</formula>
    </cfRule>
  </conditionalFormatting>
  <conditionalFormatting sqref="B16">
    <cfRule type="cellIs" dxfId="12" priority="1344" operator="equal">
      <formula>"1级"</formula>
    </cfRule>
    <cfRule type="cellIs" dxfId="3" priority="1343" operator="equal">
      <formula>"2级"</formula>
    </cfRule>
    <cfRule type="cellIs" dxfId="13" priority="1342" operator="equal">
      <formula>"3级"</formula>
    </cfRule>
  </conditionalFormatting>
  <conditionalFormatting sqref="D16">
    <cfRule type="cellIs" dxfId="6" priority="1341" operator="equal">
      <formula>"500/510/IVOC"</formula>
    </cfRule>
    <cfRule type="cellIs" dxfId="5" priority="1340" operator="equal">
      <formula>"500/510"</formula>
    </cfRule>
    <cfRule type="cellIs" dxfId="4" priority="1339" operator="equal">
      <formula>"IVOC"</formula>
    </cfRule>
    <cfRule type="cellIs" dxfId="3" priority="1338" operator="equal">
      <formula>"新增"</formula>
    </cfRule>
    <cfRule type="cellIs" dxfId="2" priority="1337" operator="equal">
      <formula>"优化"</formula>
    </cfRule>
    <cfRule type="cellIs" dxfId="1" priority="1336" operator="equal">
      <formula>"更新"</formula>
    </cfRule>
    <cfRule type="cellIs" dxfId="0" priority="1335" operator="equal">
      <formula>"废弃"</formula>
    </cfRule>
  </conditionalFormatting>
  <conditionalFormatting sqref="D16:E16">
    <cfRule type="cellIs" dxfId="7" priority="1328" operator="equal">
      <formula>"新增"</formula>
    </cfRule>
  </conditionalFormatting>
  <conditionalFormatting sqref="E16">
    <cfRule type="cellIs" dxfId="6" priority="1334" operator="equal">
      <formula>"500/510/IVOC"</formula>
    </cfRule>
    <cfRule type="cellIs" dxfId="5" priority="1333" operator="equal">
      <formula>"500/510"</formula>
    </cfRule>
    <cfRule type="cellIs" dxfId="4" priority="1332" operator="equal">
      <formula>"IVOC"</formula>
    </cfRule>
    <cfRule type="cellIs" dxfId="9" priority="1331" operator="equal">
      <formula>"是"</formula>
    </cfRule>
    <cfRule type="cellIs" dxfId="8" priority="1330" operator="equal">
      <formula>"否"</formula>
    </cfRule>
    <cfRule type="cellIs" dxfId="3" priority="1329" operator="equal">
      <formula>"是"</formula>
    </cfRule>
    <cfRule type="cellIs" dxfId="7" priority="1327" operator="equal">
      <formula>"是"</formula>
    </cfRule>
  </conditionalFormatting>
  <conditionalFormatting sqref="K16">
    <cfRule type="cellIs" dxfId="7" priority="1326" operator="equal">
      <formula>"通过"</formula>
    </cfRule>
    <cfRule type="cellIs" dxfId="10" priority="1325" operator="equal">
      <formula>"不通过"</formula>
    </cfRule>
    <cfRule type="cellIs" dxfId="11" priority="1324" operator="equal">
      <formula>"堵塞"</formula>
    </cfRule>
  </conditionalFormatting>
  <conditionalFormatting sqref="B17">
    <cfRule type="cellIs" dxfId="12" priority="1323" operator="equal">
      <formula>"1级"</formula>
    </cfRule>
    <cfRule type="cellIs" dxfId="3" priority="1322" operator="equal">
      <formula>"2级"</formula>
    </cfRule>
    <cfRule type="cellIs" dxfId="13" priority="1321" operator="equal">
      <formula>"3级"</formula>
    </cfRule>
  </conditionalFormatting>
  <conditionalFormatting sqref="D17">
    <cfRule type="cellIs" dxfId="6" priority="1320" operator="equal">
      <formula>"500/510/IVOC"</formula>
    </cfRule>
    <cfRule type="cellIs" dxfId="5" priority="1319" operator="equal">
      <formula>"500/510"</formula>
    </cfRule>
    <cfRule type="cellIs" dxfId="4" priority="1318" operator="equal">
      <formula>"IVOC"</formula>
    </cfRule>
    <cfRule type="cellIs" dxfId="3" priority="1317" operator="equal">
      <formula>"新增"</formula>
    </cfRule>
    <cfRule type="cellIs" dxfId="2" priority="1316" operator="equal">
      <formula>"优化"</formula>
    </cfRule>
    <cfRule type="cellIs" dxfId="1" priority="1315" operator="equal">
      <formula>"更新"</formula>
    </cfRule>
    <cfRule type="cellIs" dxfId="0" priority="1314" operator="equal">
      <formula>"废弃"</formula>
    </cfRule>
  </conditionalFormatting>
  <conditionalFormatting sqref="D17:E17">
    <cfRule type="cellIs" dxfId="7" priority="1307" operator="equal">
      <formula>"新增"</formula>
    </cfRule>
  </conditionalFormatting>
  <conditionalFormatting sqref="E17">
    <cfRule type="cellIs" dxfId="6" priority="1313" operator="equal">
      <formula>"500/510/IVOC"</formula>
    </cfRule>
    <cfRule type="cellIs" dxfId="5" priority="1312" operator="equal">
      <formula>"500/510"</formula>
    </cfRule>
    <cfRule type="cellIs" dxfId="4" priority="1311" operator="equal">
      <formula>"IVOC"</formula>
    </cfRule>
    <cfRule type="cellIs" dxfId="9" priority="1310" operator="equal">
      <formula>"是"</formula>
    </cfRule>
    <cfRule type="cellIs" dxfId="8" priority="1309" operator="equal">
      <formula>"否"</formula>
    </cfRule>
    <cfRule type="cellIs" dxfId="3" priority="1308" operator="equal">
      <formula>"是"</formula>
    </cfRule>
    <cfRule type="cellIs" dxfId="7" priority="1306" operator="equal">
      <formula>"是"</formula>
    </cfRule>
  </conditionalFormatting>
  <conditionalFormatting sqref="K17">
    <cfRule type="cellIs" dxfId="7" priority="1305" operator="equal">
      <formula>"通过"</formula>
    </cfRule>
    <cfRule type="cellIs" dxfId="10" priority="1304" operator="equal">
      <formula>"不通过"</formula>
    </cfRule>
    <cfRule type="cellIs" dxfId="11" priority="1303" operator="equal">
      <formula>"堵塞"</formula>
    </cfRule>
  </conditionalFormatting>
  <conditionalFormatting sqref="B18">
    <cfRule type="cellIs" dxfId="12" priority="1302" operator="equal">
      <formula>"1级"</formula>
    </cfRule>
    <cfRule type="cellIs" dxfId="3" priority="1301" operator="equal">
      <formula>"2级"</formula>
    </cfRule>
    <cfRule type="cellIs" dxfId="13" priority="1300" operator="equal">
      <formula>"3级"</formula>
    </cfRule>
  </conditionalFormatting>
  <conditionalFormatting sqref="D18">
    <cfRule type="cellIs" dxfId="6" priority="1299" operator="equal">
      <formula>"500/510/IVOC"</formula>
    </cfRule>
    <cfRule type="cellIs" dxfId="5" priority="1298" operator="equal">
      <formula>"500/510"</formula>
    </cfRule>
    <cfRule type="cellIs" dxfId="4" priority="1297" operator="equal">
      <formula>"IVOC"</formula>
    </cfRule>
    <cfRule type="cellIs" dxfId="3" priority="1296" operator="equal">
      <formula>"新增"</formula>
    </cfRule>
    <cfRule type="cellIs" dxfId="2" priority="1295" operator="equal">
      <formula>"优化"</formula>
    </cfRule>
    <cfRule type="cellIs" dxfId="1" priority="1294" operator="equal">
      <formula>"更新"</formula>
    </cfRule>
    <cfRule type="cellIs" dxfId="0" priority="1293" operator="equal">
      <formula>"废弃"</formula>
    </cfRule>
  </conditionalFormatting>
  <conditionalFormatting sqref="D18:E18">
    <cfRule type="cellIs" dxfId="7" priority="1286" operator="equal">
      <formula>"新增"</formula>
    </cfRule>
  </conditionalFormatting>
  <conditionalFormatting sqref="E18">
    <cfRule type="cellIs" dxfId="6" priority="1292" operator="equal">
      <formula>"500/510/IVOC"</formula>
    </cfRule>
    <cfRule type="cellIs" dxfId="5" priority="1291" operator="equal">
      <formula>"500/510"</formula>
    </cfRule>
    <cfRule type="cellIs" dxfId="4" priority="1290" operator="equal">
      <formula>"IVOC"</formula>
    </cfRule>
    <cfRule type="cellIs" dxfId="9" priority="1289" operator="equal">
      <formula>"是"</formula>
    </cfRule>
    <cfRule type="cellIs" dxfId="8" priority="1288" operator="equal">
      <formula>"否"</formula>
    </cfRule>
    <cfRule type="cellIs" dxfId="3" priority="1287" operator="equal">
      <formula>"是"</formula>
    </cfRule>
    <cfRule type="cellIs" dxfId="7" priority="1285" operator="equal">
      <formula>"是"</formula>
    </cfRule>
  </conditionalFormatting>
  <conditionalFormatting sqref="K18">
    <cfRule type="cellIs" dxfId="7" priority="1284" operator="equal">
      <formula>"通过"</formula>
    </cfRule>
    <cfRule type="cellIs" dxfId="10" priority="1283" operator="equal">
      <formula>"不通过"</formula>
    </cfRule>
    <cfRule type="cellIs" dxfId="11" priority="1282" operator="equal">
      <formula>"堵塞"</formula>
    </cfRule>
  </conditionalFormatting>
  <conditionalFormatting sqref="B19">
    <cfRule type="cellIs" dxfId="12" priority="1281" operator="equal">
      <formula>"1级"</formula>
    </cfRule>
    <cfRule type="cellIs" dxfId="3" priority="1280" operator="equal">
      <formula>"2级"</formula>
    </cfRule>
    <cfRule type="cellIs" dxfId="13" priority="1279" operator="equal">
      <formula>"3级"</formula>
    </cfRule>
  </conditionalFormatting>
  <conditionalFormatting sqref="D19">
    <cfRule type="cellIs" dxfId="6" priority="1278" operator="equal">
      <formula>"500/510/IVOC"</formula>
    </cfRule>
    <cfRule type="cellIs" dxfId="5" priority="1277" operator="equal">
      <formula>"500/510"</formula>
    </cfRule>
    <cfRule type="cellIs" dxfId="4" priority="1276" operator="equal">
      <formula>"IVOC"</formula>
    </cfRule>
    <cfRule type="cellIs" dxfId="3" priority="1275" operator="equal">
      <formula>"新增"</formula>
    </cfRule>
    <cfRule type="cellIs" dxfId="2" priority="1274" operator="equal">
      <formula>"优化"</formula>
    </cfRule>
    <cfRule type="cellIs" dxfId="1" priority="1273" operator="equal">
      <formula>"更新"</formula>
    </cfRule>
    <cfRule type="cellIs" dxfId="0" priority="1272" operator="equal">
      <formula>"废弃"</formula>
    </cfRule>
  </conditionalFormatting>
  <conditionalFormatting sqref="D19:E19">
    <cfRule type="cellIs" dxfId="7" priority="1265" operator="equal">
      <formula>"新增"</formula>
    </cfRule>
  </conditionalFormatting>
  <conditionalFormatting sqref="E19">
    <cfRule type="cellIs" dxfId="6" priority="1271" operator="equal">
      <formula>"500/510/IVOC"</formula>
    </cfRule>
    <cfRule type="cellIs" dxfId="5" priority="1270" operator="equal">
      <formula>"500/510"</formula>
    </cfRule>
    <cfRule type="cellIs" dxfId="4" priority="1269" operator="equal">
      <formula>"IVOC"</formula>
    </cfRule>
    <cfRule type="cellIs" dxfId="9" priority="1268" operator="equal">
      <formula>"是"</formula>
    </cfRule>
    <cfRule type="cellIs" dxfId="8" priority="1267" operator="equal">
      <formula>"否"</formula>
    </cfRule>
    <cfRule type="cellIs" dxfId="3" priority="1266" operator="equal">
      <formula>"是"</formula>
    </cfRule>
    <cfRule type="cellIs" dxfId="7" priority="1264" operator="equal">
      <formula>"是"</formula>
    </cfRule>
  </conditionalFormatting>
  <conditionalFormatting sqref="K19">
    <cfRule type="cellIs" dxfId="7" priority="1263" operator="equal">
      <formula>"通过"</formula>
    </cfRule>
    <cfRule type="cellIs" dxfId="10" priority="1262" operator="equal">
      <formula>"不通过"</formula>
    </cfRule>
    <cfRule type="cellIs" dxfId="11" priority="1261" operator="equal">
      <formula>"堵塞"</formula>
    </cfRule>
  </conditionalFormatting>
  <conditionalFormatting sqref="B20">
    <cfRule type="cellIs" dxfId="12" priority="1260" operator="equal">
      <formula>"1级"</formula>
    </cfRule>
    <cfRule type="cellIs" dxfId="3" priority="1259" operator="equal">
      <formula>"2级"</formula>
    </cfRule>
    <cfRule type="cellIs" dxfId="13" priority="1258" operator="equal">
      <formula>"3级"</formula>
    </cfRule>
  </conditionalFormatting>
  <conditionalFormatting sqref="D20">
    <cfRule type="cellIs" dxfId="6" priority="1257" operator="equal">
      <formula>"500/510/IVOC"</formula>
    </cfRule>
    <cfRule type="cellIs" dxfId="5" priority="1256" operator="equal">
      <formula>"500/510"</formula>
    </cfRule>
    <cfRule type="cellIs" dxfId="4" priority="1255" operator="equal">
      <formula>"IVOC"</formula>
    </cfRule>
    <cfRule type="cellIs" dxfId="3" priority="1254" operator="equal">
      <formula>"新增"</formula>
    </cfRule>
    <cfRule type="cellIs" dxfId="2" priority="1253" operator="equal">
      <formula>"优化"</formula>
    </cfRule>
    <cfRule type="cellIs" dxfId="1" priority="1252" operator="equal">
      <formula>"更新"</formula>
    </cfRule>
    <cfRule type="cellIs" dxfId="0" priority="1251" operator="equal">
      <formula>"废弃"</formula>
    </cfRule>
  </conditionalFormatting>
  <conditionalFormatting sqref="D20:E20">
    <cfRule type="cellIs" dxfId="7" priority="1244" operator="equal">
      <formula>"新增"</formula>
    </cfRule>
  </conditionalFormatting>
  <conditionalFormatting sqref="E20">
    <cfRule type="cellIs" dxfId="6" priority="1250" operator="equal">
      <formula>"500/510/IVOC"</formula>
    </cfRule>
    <cfRule type="cellIs" dxfId="5" priority="1249" operator="equal">
      <formula>"500/510"</formula>
    </cfRule>
    <cfRule type="cellIs" dxfId="4" priority="1248" operator="equal">
      <formula>"IVOC"</formula>
    </cfRule>
    <cfRule type="cellIs" dxfId="9" priority="1247" operator="equal">
      <formula>"是"</formula>
    </cfRule>
    <cfRule type="cellIs" dxfId="8" priority="1246" operator="equal">
      <formula>"否"</formula>
    </cfRule>
    <cfRule type="cellIs" dxfId="3" priority="1245" operator="equal">
      <formula>"是"</formula>
    </cfRule>
    <cfRule type="cellIs" dxfId="7" priority="1243" operator="equal">
      <formula>"是"</formula>
    </cfRule>
  </conditionalFormatting>
  <conditionalFormatting sqref="K20">
    <cfRule type="cellIs" dxfId="7" priority="1242" operator="equal">
      <formula>"通过"</formula>
    </cfRule>
    <cfRule type="cellIs" dxfId="10" priority="1241" operator="equal">
      <formula>"不通过"</formula>
    </cfRule>
    <cfRule type="cellIs" dxfId="11" priority="1240" operator="equal">
      <formula>"堵塞"</formula>
    </cfRule>
  </conditionalFormatting>
  <conditionalFormatting sqref="B21">
    <cfRule type="cellIs" dxfId="12" priority="1239" operator="equal">
      <formula>"1级"</formula>
    </cfRule>
    <cfRule type="cellIs" dxfId="3" priority="1238" operator="equal">
      <formula>"2级"</formula>
    </cfRule>
    <cfRule type="cellIs" dxfId="13" priority="1237" operator="equal">
      <formula>"3级"</formula>
    </cfRule>
  </conditionalFormatting>
  <conditionalFormatting sqref="D21">
    <cfRule type="cellIs" dxfId="6" priority="1236" operator="equal">
      <formula>"500/510/IVOC"</formula>
    </cfRule>
    <cfRule type="cellIs" dxfId="5" priority="1235" operator="equal">
      <formula>"500/510"</formula>
    </cfRule>
    <cfRule type="cellIs" dxfId="4" priority="1234" operator="equal">
      <formula>"IVOC"</formula>
    </cfRule>
    <cfRule type="cellIs" dxfId="3" priority="1233" operator="equal">
      <formula>"新增"</formula>
    </cfRule>
    <cfRule type="cellIs" dxfId="2" priority="1232" operator="equal">
      <formula>"优化"</formula>
    </cfRule>
    <cfRule type="cellIs" dxfId="1" priority="1231" operator="equal">
      <formula>"更新"</formula>
    </cfRule>
    <cfRule type="cellIs" dxfId="0" priority="1230" operator="equal">
      <formula>"废弃"</formula>
    </cfRule>
  </conditionalFormatting>
  <conditionalFormatting sqref="D21:E21">
    <cfRule type="cellIs" dxfId="7" priority="1223" operator="equal">
      <formula>"新增"</formula>
    </cfRule>
  </conditionalFormatting>
  <conditionalFormatting sqref="E21">
    <cfRule type="cellIs" dxfId="6" priority="1229" operator="equal">
      <formula>"500/510/IVOC"</formula>
    </cfRule>
    <cfRule type="cellIs" dxfId="5" priority="1228" operator="equal">
      <formula>"500/510"</formula>
    </cfRule>
    <cfRule type="cellIs" dxfId="4" priority="1227" operator="equal">
      <formula>"IVOC"</formula>
    </cfRule>
    <cfRule type="cellIs" dxfId="9" priority="1226" operator="equal">
      <formula>"是"</formula>
    </cfRule>
    <cfRule type="cellIs" dxfId="8" priority="1225" operator="equal">
      <formula>"否"</formula>
    </cfRule>
    <cfRule type="cellIs" dxfId="3" priority="1224" operator="equal">
      <formula>"是"</formula>
    </cfRule>
    <cfRule type="cellIs" dxfId="7" priority="1222" operator="equal">
      <formula>"是"</formula>
    </cfRule>
  </conditionalFormatting>
  <conditionalFormatting sqref="K21">
    <cfRule type="cellIs" dxfId="7" priority="1221" operator="equal">
      <formula>"通过"</formula>
    </cfRule>
    <cfRule type="cellIs" dxfId="10" priority="1220" operator="equal">
      <formula>"不通过"</formula>
    </cfRule>
    <cfRule type="cellIs" dxfId="11" priority="1219" operator="equal">
      <formula>"堵塞"</formula>
    </cfRule>
  </conditionalFormatting>
  <conditionalFormatting sqref="B22">
    <cfRule type="cellIs" dxfId="12" priority="1218" operator="equal">
      <formula>"1级"</formula>
    </cfRule>
    <cfRule type="cellIs" dxfId="3" priority="1217" operator="equal">
      <formula>"2级"</formula>
    </cfRule>
    <cfRule type="cellIs" dxfId="13" priority="1216" operator="equal">
      <formula>"3级"</formula>
    </cfRule>
  </conditionalFormatting>
  <conditionalFormatting sqref="D22">
    <cfRule type="cellIs" dxfId="6" priority="1215" operator="equal">
      <formula>"500/510/IVOC"</formula>
    </cfRule>
    <cfRule type="cellIs" dxfId="5" priority="1214" operator="equal">
      <formula>"500/510"</formula>
    </cfRule>
    <cfRule type="cellIs" dxfId="4" priority="1213" operator="equal">
      <formula>"IVOC"</formula>
    </cfRule>
    <cfRule type="cellIs" dxfId="3" priority="1212" operator="equal">
      <formula>"新增"</formula>
    </cfRule>
    <cfRule type="cellIs" dxfId="2" priority="1211" operator="equal">
      <formula>"优化"</formula>
    </cfRule>
    <cfRule type="cellIs" dxfId="1" priority="1210" operator="equal">
      <formula>"更新"</formula>
    </cfRule>
    <cfRule type="cellIs" dxfId="0" priority="1209" operator="equal">
      <formula>"废弃"</formula>
    </cfRule>
  </conditionalFormatting>
  <conditionalFormatting sqref="D22:E22">
    <cfRule type="cellIs" dxfId="7" priority="1202" operator="equal">
      <formula>"新增"</formula>
    </cfRule>
  </conditionalFormatting>
  <conditionalFormatting sqref="E22">
    <cfRule type="cellIs" dxfId="6" priority="1208" operator="equal">
      <formula>"500/510/IVOC"</formula>
    </cfRule>
    <cfRule type="cellIs" dxfId="5" priority="1207" operator="equal">
      <formula>"500/510"</formula>
    </cfRule>
    <cfRule type="cellIs" dxfId="4" priority="1206" operator="equal">
      <formula>"IVOC"</formula>
    </cfRule>
    <cfRule type="cellIs" dxfId="9" priority="1205" operator="equal">
      <formula>"是"</formula>
    </cfRule>
    <cfRule type="cellIs" dxfId="8" priority="1204" operator="equal">
      <formula>"否"</formula>
    </cfRule>
    <cfRule type="cellIs" dxfId="3" priority="1203" operator="equal">
      <formula>"是"</formula>
    </cfRule>
    <cfRule type="cellIs" dxfId="7" priority="1201" operator="equal">
      <formula>"是"</formula>
    </cfRule>
  </conditionalFormatting>
  <conditionalFormatting sqref="K22">
    <cfRule type="cellIs" dxfId="7" priority="1200" operator="equal">
      <formula>"通过"</formula>
    </cfRule>
    <cfRule type="cellIs" dxfId="10" priority="1199" operator="equal">
      <formula>"不通过"</formula>
    </cfRule>
    <cfRule type="cellIs" dxfId="11" priority="1198" operator="equal">
      <formula>"堵塞"</formula>
    </cfRule>
  </conditionalFormatting>
  <conditionalFormatting sqref="B23">
    <cfRule type="cellIs" dxfId="12" priority="1197" operator="equal">
      <formula>"1级"</formula>
    </cfRule>
    <cfRule type="cellIs" dxfId="3" priority="1196" operator="equal">
      <formula>"2级"</formula>
    </cfRule>
    <cfRule type="cellIs" dxfId="13" priority="1195" operator="equal">
      <formula>"3级"</formula>
    </cfRule>
  </conditionalFormatting>
  <conditionalFormatting sqref="D23">
    <cfRule type="cellIs" dxfId="6" priority="1194" operator="equal">
      <formula>"500/510/IVOC"</formula>
    </cfRule>
    <cfRule type="cellIs" dxfId="5" priority="1193" operator="equal">
      <formula>"500/510"</formula>
    </cfRule>
    <cfRule type="cellIs" dxfId="4" priority="1192" operator="equal">
      <formula>"IVOC"</formula>
    </cfRule>
    <cfRule type="cellIs" dxfId="3" priority="1191" operator="equal">
      <formula>"新增"</formula>
    </cfRule>
    <cfRule type="cellIs" dxfId="2" priority="1190" operator="equal">
      <formula>"优化"</formula>
    </cfRule>
    <cfRule type="cellIs" dxfId="1" priority="1189" operator="equal">
      <formula>"更新"</formula>
    </cfRule>
    <cfRule type="cellIs" dxfId="0" priority="1188" operator="equal">
      <formula>"废弃"</formula>
    </cfRule>
  </conditionalFormatting>
  <conditionalFormatting sqref="D23:E23">
    <cfRule type="cellIs" dxfId="7" priority="1181" operator="equal">
      <formula>"新增"</formula>
    </cfRule>
  </conditionalFormatting>
  <conditionalFormatting sqref="E23">
    <cfRule type="cellIs" dxfId="6" priority="1187" operator="equal">
      <formula>"500/510/IVOC"</formula>
    </cfRule>
    <cfRule type="cellIs" dxfId="5" priority="1186" operator="equal">
      <formula>"500/510"</formula>
    </cfRule>
    <cfRule type="cellIs" dxfId="4" priority="1185" operator="equal">
      <formula>"IVOC"</formula>
    </cfRule>
    <cfRule type="cellIs" dxfId="9" priority="1184" operator="equal">
      <formula>"是"</formula>
    </cfRule>
    <cfRule type="cellIs" dxfId="8" priority="1183" operator="equal">
      <formula>"否"</formula>
    </cfRule>
    <cfRule type="cellIs" dxfId="3" priority="1182" operator="equal">
      <formula>"是"</formula>
    </cfRule>
    <cfRule type="cellIs" dxfId="7" priority="1180" operator="equal">
      <formula>"是"</formula>
    </cfRule>
  </conditionalFormatting>
  <conditionalFormatting sqref="K23">
    <cfRule type="cellIs" dxfId="7" priority="1179" operator="equal">
      <formula>"通过"</formula>
    </cfRule>
    <cfRule type="cellIs" dxfId="10" priority="1178" operator="equal">
      <formula>"不通过"</formula>
    </cfRule>
    <cfRule type="cellIs" dxfId="11" priority="1177" operator="equal">
      <formula>"堵塞"</formula>
    </cfRule>
  </conditionalFormatting>
  <conditionalFormatting sqref="B24">
    <cfRule type="cellIs" dxfId="12" priority="1176" operator="equal">
      <formula>"1级"</formula>
    </cfRule>
    <cfRule type="cellIs" dxfId="3" priority="1175" operator="equal">
      <formula>"2级"</formula>
    </cfRule>
    <cfRule type="cellIs" dxfId="13" priority="1174" operator="equal">
      <formula>"3级"</formula>
    </cfRule>
  </conditionalFormatting>
  <conditionalFormatting sqref="D24">
    <cfRule type="cellIs" dxfId="6" priority="1173" operator="equal">
      <formula>"500/510/IVOC"</formula>
    </cfRule>
    <cfRule type="cellIs" dxfId="5" priority="1172" operator="equal">
      <formula>"500/510"</formula>
    </cfRule>
    <cfRule type="cellIs" dxfId="4" priority="1171" operator="equal">
      <formula>"IVOC"</formula>
    </cfRule>
    <cfRule type="cellIs" dxfId="3" priority="1170" operator="equal">
      <formula>"新增"</formula>
    </cfRule>
    <cfRule type="cellIs" dxfId="2" priority="1169" operator="equal">
      <formula>"优化"</formula>
    </cfRule>
    <cfRule type="cellIs" dxfId="1" priority="1168" operator="equal">
      <formula>"更新"</formula>
    </cfRule>
    <cfRule type="cellIs" dxfId="0" priority="1167" operator="equal">
      <formula>"废弃"</formula>
    </cfRule>
  </conditionalFormatting>
  <conditionalFormatting sqref="D24:E24">
    <cfRule type="cellIs" dxfId="7" priority="1160" operator="equal">
      <formula>"新增"</formula>
    </cfRule>
  </conditionalFormatting>
  <conditionalFormatting sqref="E24">
    <cfRule type="cellIs" dxfId="6" priority="1166" operator="equal">
      <formula>"500/510/IVOC"</formula>
    </cfRule>
    <cfRule type="cellIs" dxfId="5" priority="1165" operator="equal">
      <formula>"500/510"</formula>
    </cfRule>
    <cfRule type="cellIs" dxfId="4" priority="1164" operator="equal">
      <formula>"IVOC"</formula>
    </cfRule>
    <cfRule type="cellIs" dxfId="9" priority="1163" operator="equal">
      <formula>"是"</formula>
    </cfRule>
    <cfRule type="cellIs" dxfId="8" priority="1162" operator="equal">
      <formula>"否"</formula>
    </cfRule>
    <cfRule type="cellIs" dxfId="3" priority="1161" operator="equal">
      <formula>"是"</formula>
    </cfRule>
    <cfRule type="cellIs" dxfId="7" priority="1159" operator="equal">
      <formula>"是"</formula>
    </cfRule>
  </conditionalFormatting>
  <conditionalFormatting sqref="K24">
    <cfRule type="cellIs" dxfId="7" priority="1158" operator="equal">
      <formula>"通过"</formula>
    </cfRule>
    <cfRule type="cellIs" dxfId="10" priority="1157" operator="equal">
      <formula>"不通过"</formula>
    </cfRule>
    <cfRule type="cellIs" dxfId="11" priority="1156" operator="equal">
      <formula>"堵塞"</formula>
    </cfRule>
  </conditionalFormatting>
  <conditionalFormatting sqref="B25">
    <cfRule type="cellIs" dxfId="12" priority="1155" operator="equal">
      <formula>"1级"</formula>
    </cfRule>
    <cfRule type="cellIs" dxfId="3" priority="1154" operator="equal">
      <formula>"2级"</formula>
    </cfRule>
    <cfRule type="cellIs" dxfId="13" priority="1153" operator="equal">
      <formula>"3级"</formula>
    </cfRule>
  </conditionalFormatting>
  <conditionalFormatting sqref="D25">
    <cfRule type="cellIs" dxfId="6" priority="1152" operator="equal">
      <formula>"500/510/IVOC"</formula>
    </cfRule>
    <cfRule type="cellIs" dxfId="5" priority="1151" operator="equal">
      <formula>"500/510"</formula>
    </cfRule>
    <cfRule type="cellIs" dxfId="4" priority="1150" operator="equal">
      <formula>"IVOC"</formula>
    </cfRule>
    <cfRule type="cellIs" dxfId="3" priority="1149" operator="equal">
      <formula>"新增"</formula>
    </cfRule>
    <cfRule type="cellIs" dxfId="2" priority="1148" operator="equal">
      <formula>"优化"</formula>
    </cfRule>
    <cfRule type="cellIs" dxfId="1" priority="1147" operator="equal">
      <formula>"更新"</formula>
    </cfRule>
    <cfRule type="cellIs" dxfId="0" priority="1146" operator="equal">
      <formula>"废弃"</formula>
    </cfRule>
  </conditionalFormatting>
  <conditionalFormatting sqref="D25:E25">
    <cfRule type="cellIs" dxfId="7" priority="1139" operator="equal">
      <formula>"新增"</formula>
    </cfRule>
  </conditionalFormatting>
  <conditionalFormatting sqref="E25">
    <cfRule type="cellIs" dxfId="6" priority="1145" operator="equal">
      <formula>"500/510/IVOC"</formula>
    </cfRule>
    <cfRule type="cellIs" dxfId="5" priority="1144" operator="equal">
      <formula>"500/510"</formula>
    </cfRule>
    <cfRule type="cellIs" dxfId="4" priority="1143" operator="equal">
      <formula>"IVOC"</formula>
    </cfRule>
    <cfRule type="cellIs" dxfId="9" priority="1142" operator="equal">
      <formula>"是"</formula>
    </cfRule>
    <cfRule type="cellIs" dxfId="8" priority="1141" operator="equal">
      <formula>"否"</formula>
    </cfRule>
    <cfRule type="cellIs" dxfId="3" priority="1140" operator="equal">
      <formula>"是"</formula>
    </cfRule>
    <cfRule type="cellIs" dxfId="7" priority="1138" operator="equal">
      <formula>"是"</formula>
    </cfRule>
  </conditionalFormatting>
  <conditionalFormatting sqref="K25">
    <cfRule type="cellIs" dxfId="7" priority="1137" operator="equal">
      <formula>"通过"</formula>
    </cfRule>
    <cfRule type="cellIs" dxfId="10" priority="1136" operator="equal">
      <formula>"不通过"</formula>
    </cfRule>
    <cfRule type="cellIs" dxfId="11" priority="1135" operator="equal">
      <formula>"堵塞"</formula>
    </cfRule>
  </conditionalFormatting>
  <conditionalFormatting sqref="B26">
    <cfRule type="cellIs" dxfId="12" priority="1134" operator="equal">
      <formula>"1级"</formula>
    </cfRule>
    <cfRule type="cellIs" dxfId="3" priority="1133" operator="equal">
      <formula>"2级"</formula>
    </cfRule>
    <cfRule type="cellIs" dxfId="13" priority="1132" operator="equal">
      <formula>"3级"</formula>
    </cfRule>
  </conditionalFormatting>
  <conditionalFormatting sqref="D26">
    <cfRule type="cellIs" dxfId="6" priority="1131" operator="equal">
      <formula>"500/510/IVOC"</formula>
    </cfRule>
    <cfRule type="cellIs" dxfId="5" priority="1130" operator="equal">
      <formula>"500/510"</formula>
    </cfRule>
    <cfRule type="cellIs" dxfId="4" priority="1129" operator="equal">
      <formula>"IVOC"</formula>
    </cfRule>
    <cfRule type="cellIs" dxfId="3" priority="1128" operator="equal">
      <formula>"新增"</formula>
    </cfRule>
    <cfRule type="cellIs" dxfId="2" priority="1127" operator="equal">
      <formula>"优化"</formula>
    </cfRule>
    <cfRule type="cellIs" dxfId="1" priority="1126" operator="equal">
      <formula>"更新"</formula>
    </cfRule>
    <cfRule type="cellIs" dxfId="0" priority="1125" operator="equal">
      <formula>"废弃"</formula>
    </cfRule>
  </conditionalFormatting>
  <conditionalFormatting sqref="D26:E26">
    <cfRule type="cellIs" dxfId="7" priority="1118" operator="equal">
      <formula>"新增"</formula>
    </cfRule>
  </conditionalFormatting>
  <conditionalFormatting sqref="E26">
    <cfRule type="cellIs" dxfId="6" priority="1124" operator="equal">
      <formula>"500/510/IVOC"</formula>
    </cfRule>
    <cfRule type="cellIs" dxfId="5" priority="1123" operator="equal">
      <formula>"500/510"</formula>
    </cfRule>
    <cfRule type="cellIs" dxfId="4" priority="1122" operator="equal">
      <formula>"IVOC"</formula>
    </cfRule>
    <cfRule type="cellIs" dxfId="9" priority="1121" operator="equal">
      <formula>"是"</formula>
    </cfRule>
    <cfRule type="cellIs" dxfId="8" priority="1120" operator="equal">
      <formula>"否"</formula>
    </cfRule>
    <cfRule type="cellIs" dxfId="3" priority="1119" operator="equal">
      <formula>"是"</formula>
    </cfRule>
    <cfRule type="cellIs" dxfId="7" priority="1117" operator="equal">
      <formula>"是"</formula>
    </cfRule>
  </conditionalFormatting>
  <conditionalFormatting sqref="K26">
    <cfRule type="cellIs" dxfId="7" priority="1116" operator="equal">
      <formula>"通过"</formula>
    </cfRule>
    <cfRule type="cellIs" dxfId="10" priority="1115" operator="equal">
      <formula>"不通过"</formula>
    </cfRule>
    <cfRule type="cellIs" dxfId="11" priority="1114" operator="equal">
      <formula>"堵塞"</formula>
    </cfRule>
  </conditionalFormatting>
  <conditionalFormatting sqref="B27">
    <cfRule type="cellIs" dxfId="12" priority="1113" operator="equal">
      <formula>"1级"</formula>
    </cfRule>
    <cfRule type="cellIs" dxfId="3" priority="1112" operator="equal">
      <formula>"2级"</formula>
    </cfRule>
    <cfRule type="cellIs" dxfId="13" priority="1111" operator="equal">
      <formula>"3级"</formula>
    </cfRule>
  </conditionalFormatting>
  <conditionalFormatting sqref="D27">
    <cfRule type="cellIs" dxfId="6" priority="1110" operator="equal">
      <formula>"500/510/IVOC"</formula>
    </cfRule>
    <cfRule type="cellIs" dxfId="5" priority="1109" operator="equal">
      <formula>"500/510"</formula>
    </cfRule>
    <cfRule type="cellIs" dxfId="4" priority="1108" operator="equal">
      <formula>"IVOC"</formula>
    </cfRule>
    <cfRule type="cellIs" dxfId="3" priority="1107" operator="equal">
      <formula>"新增"</formula>
    </cfRule>
    <cfRule type="cellIs" dxfId="2" priority="1106" operator="equal">
      <formula>"优化"</formula>
    </cfRule>
    <cfRule type="cellIs" dxfId="1" priority="1105" operator="equal">
      <formula>"更新"</formula>
    </cfRule>
    <cfRule type="cellIs" dxfId="0" priority="1104" operator="equal">
      <formula>"废弃"</formula>
    </cfRule>
  </conditionalFormatting>
  <conditionalFormatting sqref="D27:E27">
    <cfRule type="cellIs" dxfId="7" priority="1097" operator="equal">
      <formula>"新增"</formula>
    </cfRule>
  </conditionalFormatting>
  <conditionalFormatting sqref="E27">
    <cfRule type="cellIs" dxfId="6" priority="1103" operator="equal">
      <formula>"500/510/IVOC"</formula>
    </cfRule>
    <cfRule type="cellIs" dxfId="5" priority="1102" operator="equal">
      <formula>"500/510"</formula>
    </cfRule>
    <cfRule type="cellIs" dxfId="4" priority="1101" operator="equal">
      <formula>"IVOC"</formula>
    </cfRule>
    <cfRule type="cellIs" dxfId="9" priority="1100" operator="equal">
      <formula>"是"</formula>
    </cfRule>
    <cfRule type="cellIs" dxfId="8" priority="1099" operator="equal">
      <formula>"否"</formula>
    </cfRule>
    <cfRule type="cellIs" dxfId="3" priority="1098" operator="equal">
      <formula>"是"</formula>
    </cfRule>
    <cfRule type="cellIs" dxfId="7" priority="1096" operator="equal">
      <formula>"是"</formula>
    </cfRule>
  </conditionalFormatting>
  <conditionalFormatting sqref="K27">
    <cfRule type="cellIs" dxfId="7" priority="1095" operator="equal">
      <formula>"通过"</formula>
    </cfRule>
    <cfRule type="cellIs" dxfId="10" priority="1094" operator="equal">
      <formula>"不通过"</formula>
    </cfRule>
    <cfRule type="cellIs" dxfId="11" priority="1093" operator="equal">
      <formula>"堵塞"</formula>
    </cfRule>
  </conditionalFormatting>
  <conditionalFormatting sqref="B28">
    <cfRule type="cellIs" dxfId="12" priority="1092" operator="equal">
      <formula>"1级"</formula>
    </cfRule>
    <cfRule type="cellIs" dxfId="3" priority="1091" operator="equal">
      <formula>"2级"</formula>
    </cfRule>
    <cfRule type="cellIs" dxfId="13" priority="1090" operator="equal">
      <formula>"3级"</formula>
    </cfRule>
  </conditionalFormatting>
  <conditionalFormatting sqref="D28">
    <cfRule type="cellIs" dxfId="6" priority="1089" operator="equal">
      <formula>"500/510/IVOC"</formula>
    </cfRule>
    <cfRule type="cellIs" dxfId="5" priority="1088" operator="equal">
      <formula>"500/510"</formula>
    </cfRule>
    <cfRule type="cellIs" dxfId="4" priority="1087" operator="equal">
      <formula>"IVOC"</formula>
    </cfRule>
    <cfRule type="cellIs" dxfId="3" priority="1086" operator="equal">
      <formula>"新增"</formula>
    </cfRule>
    <cfRule type="cellIs" dxfId="2" priority="1085" operator="equal">
      <formula>"优化"</formula>
    </cfRule>
    <cfRule type="cellIs" dxfId="1" priority="1084" operator="equal">
      <formula>"更新"</formula>
    </cfRule>
    <cfRule type="cellIs" dxfId="0" priority="1083" operator="equal">
      <formula>"废弃"</formula>
    </cfRule>
  </conditionalFormatting>
  <conditionalFormatting sqref="D28:E28">
    <cfRule type="cellIs" dxfId="7" priority="1076" operator="equal">
      <formula>"新增"</formula>
    </cfRule>
  </conditionalFormatting>
  <conditionalFormatting sqref="E28">
    <cfRule type="cellIs" dxfId="6" priority="1082" operator="equal">
      <formula>"500/510/IVOC"</formula>
    </cfRule>
    <cfRule type="cellIs" dxfId="5" priority="1081" operator="equal">
      <formula>"500/510"</formula>
    </cfRule>
    <cfRule type="cellIs" dxfId="4" priority="1080" operator="equal">
      <formula>"IVOC"</formula>
    </cfRule>
    <cfRule type="cellIs" dxfId="9" priority="1079" operator="equal">
      <formula>"是"</formula>
    </cfRule>
    <cfRule type="cellIs" dxfId="8" priority="1078" operator="equal">
      <formula>"否"</formula>
    </cfRule>
    <cfRule type="cellIs" dxfId="3" priority="1077" operator="equal">
      <formula>"是"</formula>
    </cfRule>
    <cfRule type="cellIs" dxfId="7" priority="1075" operator="equal">
      <formula>"是"</formula>
    </cfRule>
  </conditionalFormatting>
  <conditionalFormatting sqref="K28">
    <cfRule type="cellIs" dxfId="7" priority="1074" operator="equal">
      <formula>"通过"</formula>
    </cfRule>
    <cfRule type="cellIs" dxfId="10" priority="1073" operator="equal">
      <formula>"不通过"</formula>
    </cfRule>
    <cfRule type="cellIs" dxfId="11" priority="1072" operator="equal">
      <formula>"堵塞"</formula>
    </cfRule>
  </conditionalFormatting>
  <conditionalFormatting sqref="B29">
    <cfRule type="cellIs" dxfId="12" priority="1071" operator="equal">
      <formula>"1级"</formula>
    </cfRule>
    <cfRule type="cellIs" dxfId="3" priority="1070" operator="equal">
      <formula>"2级"</formula>
    </cfRule>
    <cfRule type="cellIs" dxfId="13" priority="1069" operator="equal">
      <formula>"3级"</formula>
    </cfRule>
  </conditionalFormatting>
  <conditionalFormatting sqref="D29">
    <cfRule type="cellIs" dxfId="6" priority="1068" operator="equal">
      <formula>"500/510/IVOC"</formula>
    </cfRule>
    <cfRule type="cellIs" dxfId="5" priority="1067" operator="equal">
      <formula>"500/510"</formula>
    </cfRule>
    <cfRule type="cellIs" dxfId="4" priority="1066" operator="equal">
      <formula>"IVOC"</formula>
    </cfRule>
    <cfRule type="cellIs" dxfId="3" priority="1065" operator="equal">
      <formula>"新增"</formula>
    </cfRule>
    <cfRule type="cellIs" dxfId="2" priority="1064" operator="equal">
      <formula>"优化"</formula>
    </cfRule>
    <cfRule type="cellIs" dxfId="1" priority="1063" operator="equal">
      <formula>"更新"</formula>
    </cfRule>
    <cfRule type="cellIs" dxfId="0" priority="1062" operator="equal">
      <formula>"废弃"</formula>
    </cfRule>
  </conditionalFormatting>
  <conditionalFormatting sqref="D29:E29">
    <cfRule type="cellIs" dxfId="7" priority="1055" operator="equal">
      <formula>"新增"</formula>
    </cfRule>
  </conditionalFormatting>
  <conditionalFormatting sqref="E29">
    <cfRule type="cellIs" dxfId="6" priority="1061" operator="equal">
      <formula>"500/510/IVOC"</formula>
    </cfRule>
    <cfRule type="cellIs" dxfId="5" priority="1060" operator="equal">
      <formula>"500/510"</formula>
    </cfRule>
    <cfRule type="cellIs" dxfId="4" priority="1059" operator="equal">
      <formula>"IVOC"</formula>
    </cfRule>
    <cfRule type="cellIs" dxfId="9" priority="1058" operator="equal">
      <formula>"是"</formula>
    </cfRule>
    <cfRule type="cellIs" dxfId="8" priority="1057" operator="equal">
      <formula>"否"</formula>
    </cfRule>
    <cfRule type="cellIs" dxfId="3" priority="1056" operator="equal">
      <formula>"是"</formula>
    </cfRule>
    <cfRule type="cellIs" dxfId="7" priority="1054" operator="equal">
      <formula>"是"</formula>
    </cfRule>
  </conditionalFormatting>
  <conditionalFormatting sqref="K29">
    <cfRule type="cellIs" dxfId="7" priority="1053" operator="equal">
      <formula>"通过"</formula>
    </cfRule>
    <cfRule type="cellIs" dxfId="10" priority="1052" operator="equal">
      <formula>"不通过"</formula>
    </cfRule>
    <cfRule type="cellIs" dxfId="11" priority="1051" operator="equal">
      <formula>"堵塞"</formula>
    </cfRule>
  </conditionalFormatting>
  <conditionalFormatting sqref="B30">
    <cfRule type="cellIs" dxfId="12" priority="1050" operator="equal">
      <formula>"1级"</formula>
    </cfRule>
    <cfRule type="cellIs" dxfId="3" priority="1049" operator="equal">
      <formula>"2级"</formula>
    </cfRule>
    <cfRule type="cellIs" dxfId="13" priority="1048" operator="equal">
      <formula>"3级"</formula>
    </cfRule>
  </conditionalFormatting>
  <conditionalFormatting sqref="D30">
    <cfRule type="cellIs" dxfId="6" priority="1047" operator="equal">
      <formula>"500/510/IVOC"</formula>
    </cfRule>
    <cfRule type="cellIs" dxfId="5" priority="1046" operator="equal">
      <formula>"500/510"</formula>
    </cfRule>
    <cfRule type="cellIs" dxfId="4" priority="1045" operator="equal">
      <formula>"IVOC"</formula>
    </cfRule>
    <cfRule type="cellIs" dxfId="3" priority="1044" operator="equal">
      <formula>"新增"</formula>
    </cfRule>
    <cfRule type="cellIs" dxfId="2" priority="1043" operator="equal">
      <formula>"优化"</formula>
    </cfRule>
    <cfRule type="cellIs" dxfId="1" priority="1042" operator="equal">
      <formula>"更新"</formula>
    </cfRule>
    <cfRule type="cellIs" dxfId="0" priority="1041" operator="equal">
      <formula>"废弃"</formula>
    </cfRule>
  </conditionalFormatting>
  <conditionalFormatting sqref="D30:E30">
    <cfRule type="cellIs" dxfId="7" priority="1034" operator="equal">
      <formula>"新增"</formula>
    </cfRule>
  </conditionalFormatting>
  <conditionalFormatting sqref="E30">
    <cfRule type="cellIs" dxfId="6" priority="1040" operator="equal">
      <formula>"500/510/IVOC"</formula>
    </cfRule>
    <cfRule type="cellIs" dxfId="5" priority="1039" operator="equal">
      <formula>"500/510"</formula>
    </cfRule>
    <cfRule type="cellIs" dxfId="4" priority="1038" operator="equal">
      <formula>"IVOC"</formula>
    </cfRule>
    <cfRule type="cellIs" dxfId="9" priority="1037" operator="equal">
      <formula>"是"</formula>
    </cfRule>
    <cfRule type="cellIs" dxfId="8" priority="1036" operator="equal">
      <formula>"否"</formula>
    </cfRule>
    <cfRule type="cellIs" dxfId="3" priority="1035" operator="equal">
      <formula>"是"</formula>
    </cfRule>
    <cfRule type="cellIs" dxfId="7" priority="1033" operator="equal">
      <formula>"是"</formula>
    </cfRule>
  </conditionalFormatting>
  <conditionalFormatting sqref="K30">
    <cfRule type="cellIs" dxfId="7" priority="1032" operator="equal">
      <formula>"通过"</formula>
    </cfRule>
    <cfRule type="cellIs" dxfId="10" priority="1031" operator="equal">
      <formula>"不通过"</formula>
    </cfRule>
    <cfRule type="cellIs" dxfId="11" priority="1030" operator="equal">
      <formula>"堵塞"</formula>
    </cfRule>
  </conditionalFormatting>
  <conditionalFormatting sqref="B31">
    <cfRule type="cellIs" dxfId="12" priority="1029" operator="equal">
      <formula>"1级"</formula>
    </cfRule>
    <cfRule type="cellIs" dxfId="3" priority="1028" operator="equal">
      <formula>"2级"</formula>
    </cfRule>
    <cfRule type="cellIs" dxfId="13" priority="1027" operator="equal">
      <formula>"3级"</formula>
    </cfRule>
  </conditionalFormatting>
  <conditionalFormatting sqref="D31">
    <cfRule type="cellIs" dxfId="6" priority="1026" operator="equal">
      <formula>"500/510/IVOC"</formula>
    </cfRule>
    <cfRule type="cellIs" dxfId="5" priority="1025" operator="equal">
      <formula>"500/510"</formula>
    </cfRule>
    <cfRule type="cellIs" dxfId="4" priority="1024" operator="equal">
      <formula>"IVOC"</formula>
    </cfRule>
    <cfRule type="cellIs" dxfId="3" priority="1023" operator="equal">
      <formula>"新增"</formula>
    </cfRule>
    <cfRule type="cellIs" dxfId="2" priority="1022" operator="equal">
      <formula>"优化"</formula>
    </cfRule>
    <cfRule type="cellIs" dxfId="1" priority="1021" operator="equal">
      <formula>"更新"</formula>
    </cfRule>
    <cfRule type="cellIs" dxfId="0" priority="1020" operator="equal">
      <formula>"废弃"</formula>
    </cfRule>
  </conditionalFormatting>
  <conditionalFormatting sqref="D31:E31">
    <cfRule type="cellIs" dxfId="7" priority="1013" operator="equal">
      <formula>"新增"</formula>
    </cfRule>
  </conditionalFormatting>
  <conditionalFormatting sqref="E31">
    <cfRule type="cellIs" dxfId="6" priority="1019" operator="equal">
      <formula>"500/510/IVOC"</formula>
    </cfRule>
    <cfRule type="cellIs" dxfId="5" priority="1018" operator="equal">
      <formula>"500/510"</formula>
    </cfRule>
    <cfRule type="cellIs" dxfId="4" priority="1017" operator="equal">
      <formula>"IVOC"</formula>
    </cfRule>
    <cfRule type="cellIs" dxfId="9" priority="1016" operator="equal">
      <formula>"是"</formula>
    </cfRule>
    <cfRule type="cellIs" dxfId="8" priority="1015" operator="equal">
      <formula>"否"</formula>
    </cfRule>
    <cfRule type="cellIs" dxfId="3" priority="1014" operator="equal">
      <formula>"是"</formula>
    </cfRule>
    <cfRule type="cellIs" dxfId="7" priority="1012" operator="equal">
      <formula>"是"</formula>
    </cfRule>
  </conditionalFormatting>
  <conditionalFormatting sqref="K31">
    <cfRule type="cellIs" dxfId="7" priority="1011" operator="equal">
      <formula>"通过"</formula>
    </cfRule>
    <cfRule type="cellIs" dxfId="10" priority="1010" operator="equal">
      <formula>"不通过"</formula>
    </cfRule>
    <cfRule type="cellIs" dxfId="11" priority="1009" operator="equal">
      <formula>"堵塞"</formula>
    </cfRule>
  </conditionalFormatting>
  <conditionalFormatting sqref="B32">
    <cfRule type="cellIs" dxfId="12" priority="1008" operator="equal">
      <formula>"1级"</formula>
    </cfRule>
    <cfRule type="cellIs" dxfId="3" priority="1007" operator="equal">
      <formula>"2级"</formula>
    </cfRule>
    <cfRule type="cellIs" dxfId="13" priority="1006" operator="equal">
      <formula>"3级"</formula>
    </cfRule>
  </conditionalFormatting>
  <conditionalFormatting sqref="D32">
    <cfRule type="cellIs" dxfId="6" priority="1005" operator="equal">
      <formula>"500/510/IVOC"</formula>
    </cfRule>
    <cfRule type="cellIs" dxfId="5" priority="1004" operator="equal">
      <formula>"500/510"</formula>
    </cfRule>
    <cfRule type="cellIs" dxfId="4" priority="1003" operator="equal">
      <formula>"IVOC"</formula>
    </cfRule>
    <cfRule type="cellIs" dxfId="3" priority="1002" operator="equal">
      <formula>"新增"</formula>
    </cfRule>
    <cfRule type="cellIs" dxfId="2" priority="1001" operator="equal">
      <formula>"优化"</formula>
    </cfRule>
    <cfRule type="cellIs" dxfId="1" priority="1000" operator="equal">
      <formula>"更新"</formula>
    </cfRule>
    <cfRule type="cellIs" dxfId="0" priority="999" operator="equal">
      <formula>"废弃"</formula>
    </cfRule>
  </conditionalFormatting>
  <conditionalFormatting sqref="D32:E32">
    <cfRule type="cellIs" dxfId="7" priority="992" operator="equal">
      <formula>"新增"</formula>
    </cfRule>
  </conditionalFormatting>
  <conditionalFormatting sqref="E32">
    <cfRule type="cellIs" dxfId="6" priority="998" operator="equal">
      <formula>"500/510/IVOC"</formula>
    </cfRule>
    <cfRule type="cellIs" dxfId="5" priority="997" operator="equal">
      <formula>"500/510"</formula>
    </cfRule>
    <cfRule type="cellIs" dxfId="4" priority="996" operator="equal">
      <formula>"IVOC"</formula>
    </cfRule>
    <cfRule type="cellIs" dxfId="9" priority="995" operator="equal">
      <formula>"是"</formula>
    </cfRule>
    <cfRule type="cellIs" dxfId="8" priority="994" operator="equal">
      <formula>"否"</formula>
    </cfRule>
    <cfRule type="cellIs" dxfId="3" priority="993" operator="equal">
      <formula>"是"</formula>
    </cfRule>
    <cfRule type="cellIs" dxfId="7" priority="991" operator="equal">
      <formula>"是"</formula>
    </cfRule>
  </conditionalFormatting>
  <conditionalFormatting sqref="K32">
    <cfRule type="cellIs" dxfId="7" priority="990" operator="equal">
      <formula>"通过"</formula>
    </cfRule>
    <cfRule type="cellIs" dxfId="10" priority="989" operator="equal">
      <formula>"不通过"</formula>
    </cfRule>
    <cfRule type="cellIs" dxfId="11" priority="988" operator="equal">
      <formula>"堵塞"</formula>
    </cfRule>
  </conditionalFormatting>
  <conditionalFormatting sqref="B33">
    <cfRule type="cellIs" dxfId="12" priority="987" operator="equal">
      <formula>"1级"</formula>
    </cfRule>
    <cfRule type="cellIs" dxfId="3" priority="986" operator="equal">
      <formula>"2级"</formula>
    </cfRule>
    <cfRule type="cellIs" dxfId="13" priority="985" operator="equal">
      <formula>"3级"</formula>
    </cfRule>
  </conditionalFormatting>
  <conditionalFormatting sqref="D33">
    <cfRule type="cellIs" dxfId="6" priority="984" operator="equal">
      <formula>"500/510/IVOC"</formula>
    </cfRule>
    <cfRule type="cellIs" dxfId="5" priority="983" operator="equal">
      <formula>"500/510"</formula>
    </cfRule>
    <cfRule type="cellIs" dxfId="4" priority="982" operator="equal">
      <formula>"IVOC"</formula>
    </cfRule>
    <cfRule type="cellIs" dxfId="3" priority="981" operator="equal">
      <formula>"新增"</formula>
    </cfRule>
    <cfRule type="cellIs" dxfId="2" priority="980" operator="equal">
      <formula>"优化"</formula>
    </cfRule>
    <cfRule type="cellIs" dxfId="1" priority="979" operator="equal">
      <formula>"更新"</formula>
    </cfRule>
    <cfRule type="cellIs" dxfId="0" priority="978" operator="equal">
      <formula>"废弃"</formula>
    </cfRule>
  </conditionalFormatting>
  <conditionalFormatting sqref="D33:E33">
    <cfRule type="cellIs" dxfId="7" priority="971" operator="equal">
      <formula>"新增"</formula>
    </cfRule>
  </conditionalFormatting>
  <conditionalFormatting sqref="E33">
    <cfRule type="cellIs" dxfId="6" priority="977" operator="equal">
      <formula>"500/510/IVOC"</formula>
    </cfRule>
    <cfRule type="cellIs" dxfId="5" priority="976" operator="equal">
      <formula>"500/510"</formula>
    </cfRule>
    <cfRule type="cellIs" dxfId="4" priority="975" operator="equal">
      <formula>"IVOC"</formula>
    </cfRule>
    <cfRule type="cellIs" dxfId="9" priority="974" operator="equal">
      <formula>"是"</formula>
    </cfRule>
    <cfRule type="cellIs" dxfId="8" priority="973" operator="equal">
      <formula>"否"</formula>
    </cfRule>
    <cfRule type="cellIs" dxfId="3" priority="972" operator="equal">
      <formula>"是"</formula>
    </cfRule>
    <cfRule type="cellIs" dxfId="7" priority="970" operator="equal">
      <formula>"是"</formula>
    </cfRule>
  </conditionalFormatting>
  <conditionalFormatting sqref="K33">
    <cfRule type="cellIs" dxfId="7" priority="969" operator="equal">
      <formula>"通过"</formula>
    </cfRule>
    <cfRule type="cellIs" dxfId="10" priority="968" operator="equal">
      <formula>"不通过"</formula>
    </cfRule>
    <cfRule type="cellIs" dxfId="11" priority="967" operator="equal">
      <formula>"堵塞"</formula>
    </cfRule>
  </conditionalFormatting>
  <conditionalFormatting sqref="B34">
    <cfRule type="cellIs" dxfId="12" priority="966" operator="equal">
      <formula>"1级"</formula>
    </cfRule>
    <cfRule type="cellIs" dxfId="3" priority="965" operator="equal">
      <formula>"2级"</formula>
    </cfRule>
    <cfRule type="cellIs" dxfId="13" priority="964" operator="equal">
      <formula>"3级"</formula>
    </cfRule>
  </conditionalFormatting>
  <conditionalFormatting sqref="D34">
    <cfRule type="cellIs" dxfId="6" priority="963" operator="equal">
      <formula>"500/510/IVOC"</formula>
    </cfRule>
    <cfRule type="cellIs" dxfId="5" priority="962" operator="equal">
      <formula>"500/510"</formula>
    </cfRule>
    <cfRule type="cellIs" dxfId="4" priority="961" operator="equal">
      <formula>"IVOC"</formula>
    </cfRule>
    <cfRule type="cellIs" dxfId="3" priority="960" operator="equal">
      <formula>"新增"</formula>
    </cfRule>
    <cfRule type="cellIs" dxfId="2" priority="959" operator="equal">
      <formula>"优化"</formula>
    </cfRule>
    <cfRule type="cellIs" dxfId="1" priority="958" operator="equal">
      <formula>"更新"</formula>
    </cfRule>
    <cfRule type="cellIs" dxfId="0" priority="957" operator="equal">
      <formula>"废弃"</formula>
    </cfRule>
  </conditionalFormatting>
  <conditionalFormatting sqref="D34:E34">
    <cfRule type="cellIs" dxfId="7" priority="950" operator="equal">
      <formula>"新增"</formula>
    </cfRule>
  </conditionalFormatting>
  <conditionalFormatting sqref="E34">
    <cfRule type="cellIs" dxfId="6" priority="956" operator="equal">
      <formula>"500/510/IVOC"</formula>
    </cfRule>
    <cfRule type="cellIs" dxfId="5" priority="955" operator="equal">
      <formula>"500/510"</formula>
    </cfRule>
    <cfRule type="cellIs" dxfId="4" priority="954" operator="equal">
      <formula>"IVOC"</formula>
    </cfRule>
    <cfRule type="cellIs" dxfId="9" priority="953" operator="equal">
      <formula>"是"</formula>
    </cfRule>
    <cfRule type="cellIs" dxfId="8" priority="952" operator="equal">
      <formula>"否"</formula>
    </cfRule>
    <cfRule type="cellIs" dxfId="3" priority="951" operator="equal">
      <formula>"是"</formula>
    </cfRule>
    <cfRule type="cellIs" dxfId="7" priority="949" operator="equal">
      <formula>"是"</formula>
    </cfRule>
  </conditionalFormatting>
  <conditionalFormatting sqref="K34">
    <cfRule type="cellIs" dxfId="7" priority="948" operator="equal">
      <formula>"通过"</formula>
    </cfRule>
    <cfRule type="cellIs" dxfId="10" priority="947" operator="equal">
      <formula>"不通过"</formula>
    </cfRule>
    <cfRule type="cellIs" dxfId="11" priority="946" operator="equal">
      <formula>"堵塞"</formula>
    </cfRule>
  </conditionalFormatting>
  <conditionalFormatting sqref="B35">
    <cfRule type="cellIs" dxfId="12" priority="945" operator="equal">
      <formula>"1级"</formula>
    </cfRule>
    <cfRule type="cellIs" dxfId="3" priority="944" operator="equal">
      <formula>"2级"</formula>
    </cfRule>
    <cfRule type="cellIs" dxfId="13" priority="943" operator="equal">
      <formula>"3级"</formula>
    </cfRule>
  </conditionalFormatting>
  <conditionalFormatting sqref="D35">
    <cfRule type="cellIs" dxfId="6" priority="942" operator="equal">
      <formula>"500/510/IVOC"</formula>
    </cfRule>
    <cfRule type="cellIs" dxfId="5" priority="941" operator="equal">
      <formula>"500/510"</formula>
    </cfRule>
    <cfRule type="cellIs" dxfId="4" priority="940" operator="equal">
      <formula>"IVOC"</formula>
    </cfRule>
    <cfRule type="cellIs" dxfId="3" priority="939" operator="equal">
      <formula>"新增"</formula>
    </cfRule>
    <cfRule type="cellIs" dxfId="2" priority="938" operator="equal">
      <formula>"优化"</formula>
    </cfRule>
    <cfRule type="cellIs" dxfId="1" priority="937" operator="equal">
      <formula>"更新"</formula>
    </cfRule>
    <cfRule type="cellIs" dxfId="0" priority="936" operator="equal">
      <formula>"废弃"</formula>
    </cfRule>
  </conditionalFormatting>
  <conditionalFormatting sqref="D35:E35">
    <cfRule type="cellIs" dxfId="7" priority="929" operator="equal">
      <formula>"新增"</formula>
    </cfRule>
  </conditionalFormatting>
  <conditionalFormatting sqref="E35">
    <cfRule type="cellIs" dxfId="6" priority="935" operator="equal">
      <formula>"500/510/IVOC"</formula>
    </cfRule>
    <cfRule type="cellIs" dxfId="5" priority="934" operator="equal">
      <formula>"500/510"</formula>
    </cfRule>
    <cfRule type="cellIs" dxfId="4" priority="933" operator="equal">
      <formula>"IVOC"</formula>
    </cfRule>
    <cfRule type="cellIs" dxfId="9" priority="932" operator="equal">
      <formula>"是"</formula>
    </cfRule>
    <cfRule type="cellIs" dxfId="8" priority="931" operator="equal">
      <formula>"否"</formula>
    </cfRule>
    <cfRule type="cellIs" dxfId="3" priority="930" operator="equal">
      <formula>"是"</formula>
    </cfRule>
    <cfRule type="cellIs" dxfId="7" priority="928" operator="equal">
      <formula>"是"</formula>
    </cfRule>
  </conditionalFormatting>
  <conditionalFormatting sqref="K35">
    <cfRule type="cellIs" dxfId="7" priority="927" operator="equal">
      <formula>"通过"</formula>
    </cfRule>
    <cfRule type="cellIs" dxfId="10" priority="926" operator="equal">
      <formula>"不通过"</formula>
    </cfRule>
    <cfRule type="cellIs" dxfId="11" priority="925" operator="equal">
      <formula>"堵塞"</formula>
    </cfRule>
  </conditionalFormatting>
  <conditionalFormatting sqref="B36">
    <cfRule type="cellIs" dxfId="12" priority="924" operator="equal">
      <formula>"1级"</formula>
    </cfRule>
    <cfRule type="cellIs" dxfId="3" priority="923" operator="equal">
      <formula>"2级"</formula>
    </cfRule>
    <cfRule type="cellIs" dxfId="13" priority="922" operator="equal">
      <formula>"3级"</formula>
    </cfRule>
  </conditionalFormatting>
  <conditionalFormatting sqref="D36">
    <cfRule type="cellIs" dxfId="6" priority="921" operator="equal">
      <formula>"500/510/IVOC"</formula>
    </cfRule>
    <cfRule type="cellIs" dxfId="5" priority="920" operator="equal">
      <formula>"500/510"</formula>
    </cfRule>
    <cfRule type="cellIs" dxfId="4" priority="919" operator="equal">
      <formula>"IVOC"</formula>
    </cfRule>
    <cfRule type="cellIs" dxfId="3" priority="918" operator="equal">
      <formula>"新增"</formula>
    </cfRule>
    <cfRule type="cellIs" dxfId="2" priority="917" operator="equal">
      <formula>"优化"</formula>
    </cfRule>
    <cfRule type="cellIs" dxfId="1" priority="916" operator="equal">
      <formula>"更新"</formula>
    </cfRule>
    <cfRule type="cellIs" dxfId="0" priority="915" operator="equal">
      <formula>"废弃"</formula>
    </cfRule>
  </conditionalFormatting>
  <conditionalFormatting sqref="D36:E36">
    <cfRule type="cellIs" dxfId="7" priority="908" operator="equal">
      <formula>"新增"</formula>
    </cfRule>
  </conditionalFormatting>
  <conditionalFormatting sqref="E36">
    <cfRule type="cellIs" dxfId="6" priority="914" operator="equal">
      <formula>"500/510/IVOC"</formula>
    </cfRule>
    <cfRule type="cellIs" dxfId="5" priority="913" operator="equal">
      <formula>"500/510"</formula>
    </cfRule>
    <cfRule type="cellIs" dxfId="4" priority="912" operator="equal">
      <formula>"IVOC"</formula>
    </cfRule>
    <cfRule type="cellIs" dxfId="9" priority="911" operator="equal">
      <formula>"是"</formula>
    </cfRule>
    <cfRule type="cellIs" dxfId="8" priority="910" operator="equal">
      <formula>"否"</formula>
    </cfRule>
    <cfRule type="cellIs" dxfId="3" priority="909" operator="equal">
      <formula>"是"</formula>
    </cfRule>
    <cfRule type="cellIs" dxfId="7" priority="907" operator="equal">
      <formula>"是"</formula>
    </cfRule>
  </conditionalFormatting>
  <conditionalFormatting sqref="K36">
    <cfRule type="cellIs" dxfId="7" priority="906" operator="equal">
      <formula>"通过"</formula>
    </cfRule>
    <cfRule type="cellIs" dxfId="10" priority="905" operator="equal">
      <formula>"不通过"</formula>
    </cfRule>
    <cfRule type="cellIs" dxfId="11" priority="904" operator="equal">
      <formula>"堵塞"</formula>
    </cfRule>
  </conditionalFormatting>
  <conditionalFormatting sqref="B37">
    <cfRule type="cellIs" dxfId="12" priority="903" operator="equal">
      <formula>"1级"</formula>
    </cfRule>
    <cfRule type="cellIs" dxfId="3" priority="902" operator="equal">
      <formula>"2级"</formula>
    </cfRule>
    <cfRule type="cellIs" dxfId="13" priority="901" operator="equal">
      <formula>"3级"</formula>
    </cfRule>
  </conditionalFormatting>
  <conditionalFormatting sqref="D37">
    <cfRule type="cellIs" dxfId="6" priority="900" operator="equal">
      <formula>"500/510/IVOC"</formula>
    </cfRule>
    <cfRule type="cellIs" dxfId="5" priority="899" operator="equal">
      <formula>"500/510"</formula>
    </cfRule>
    <cfRule type="cellIs" dxfId="4" priority="898" operator="equal">
      <formula>"IVOC"</formula>
    </cfRule>
    <cfRule type="cellIs" dxfId="3" priority="897" operator="equal">
      <formula>"新增"</formula>
    </cfRule>
    <cfRule type="cellIs" dxfId="2" priority="896" operator="equal">
      <formula>"优化"</formula>
    </cfRule>
    <cfRule type="cellIs" dxfId="1" priority="895" operator="equal">
      <formula>"更新"</formula>
    </cfRule>
    <cfRule type="cellIs" dxfId="0" priority="894" operator="equal">
      <formula>"废弃"</formula>
    </cfRule>
  </conditionalFormatting>
  <conditionalFormatting sqref="D37:E37">
    <cfRule type="cellIs" dxfId="7" priority="887" operator="equal">
      <formula>"新增"</formula>
    </cfRule>
  </conditionalFormatting>
  <conditionalFormatting sqref="E37">
    <cfRule type="cellIs" dxfId="6" priority="893" operator="equal">
      <formula>"500/510/IVOC"</formula>
    </cfRule>
    <cfRule type="cellIs" dxfId="5" priority="892" operator="equal">
      <formula>"500/510"</formula>
    </cfRule>
    <cfRule type="cellIs" dxfId="4" priority="891" operator="equal">
      <formula>"IVOC"</formula>
    </cfRule>
    <cfRule type="cellIs" dxfId="9" priority="890" operator="equal">
      <formula>"是"</formula>
    </cfRule>
    <cfRule type="cellIs" dxfId="8" priority="889" operator="equal">
      <formula>"否"</formula>
    </cfRule>
    <cfRule type="cellIs" dxfId="3" priority="888" operator="equal">
      <formula>"是"</formula>
    </cfRule>
    <cfRule type="cellIs" dxfId="7" priority="886" operator="equal">
      <formula>"是"</formula>
    </cfRule>
  </conditionalFormatting>
  <conditionalFormatting sqref="K37">
    <cfRule type="cellIs" dxfId="7" priority="885" operator="equal">
      <formula>"通过"</formula>
    </cfRule>
    <cfRule type="cellIs" dxfId="10" priority="884" operator="equal">
      <formula>"不通过"</formula>
    </cfRule>
    <cfRule type="cellIs" dxfId="11" priority="883" operator="equal">
      <formula>"堵塞"</formula>
    </cfRule>
  </conditionalFormatting>
  <conditionalFormatting sqref="B38">
    <cfRule type="cellIs" dxfId="12" priority="882" operator="equal">
      <formula>"1级"</formula>
    </cfRule>
    <cfRule type="cellIs" dxfId="3" priority="881" operator="equal">
      <formula>"2级"</formula>
    </cfRule>
    <cfRule type="cellIs" dxfId="13" priority="880" operator="equal">
      <formula>"3级"</formula>
    </cfRule>
  </conditionalFormatting>
  <conditionalFormatting sqref="D38">
    <cfRule type="cellIs" dxfId="6" priority="879" operator="equal">
      <formula>"500/510/IVOC"</formula>
    </cfRule>
    <cfRule type="cellIs" dxfId="5" priority="878" operator="equal">
      <formula>"500/510"</formula>
    </cfRule>
    <cfRule type="cellIs" dxfId="4" priority="877" operator="equal">
      <formula>"IVOC"</formula>
    </cfRule>
    <cfRule type="cellIs" dxfId="3" priority="876" operator="equal">
      <formula>"新增"</formula>
    </cfRule>
    <cfRule type="cellIs" dxfId="2" priority="875" operator="equal">
      <formula>"优化"</formula>
    </cfRule>
    <cfRule type="cellIs" dxfId="1" priority="874" operator="equal">
      <formula>"更新"</formula>
    </cfRule>
    <cfRule type="cellIs" dxfId="0" priority="873" operator="equal">
      <formula>"废弃"</formula>
    </cfRule>
  </conditionalFormatting>
  <conditionalFormatting sqref="D38:E38">
    <cfRule type="cellIs" dxfId="7" priority="866" operator="equal">
      <formula>"新增"</formula>
    </cfRule>
  </conditionalFormatting>
  <conditionalFormatting sqref="E38">
    <cfRule type="cellIs" dxfId="6" priority="872" operator="equal">
      <formula>"500/510/IVOC"</formula>
    </cfRule>
    <cfRule type="cellIs" dxfId="5" priority="871" operator="equal">
      <formula>"500/510"</formula>
    </cfRule>
    <cfRule type="cellIs" dxfId="4" priority="870" operator="equal">
      <formula>"IVOC"</formula>
    </cfRule>
    <cfRule type="cellIs" dxfId="9" priority="869" operator="equal">
      <formula>"是"</formula>
    </cfRule>
    <cfRule type="cellIs" dxfId="8" priority="868" operator="equal">
      <formula>"否"</formula>
    </cfRule>
    <cfRule type="cellIs" dxfId="3" priority="867" operator="equal">
      <formula>"是"</formula>
    </cfRule>
    <cfRule type="cellIs" dxfId="7" priority="865" operator="equal">
      <formula>"是"</formula>
    </cfRule>
  </conditionalFormatting>
  <conditionalFormatting sqref="K38">
    <cfRule type="cellIs" dxfId="7" priority="864" operator="equal">
      <formula>"通过"</formula>
    </cfRule>
    <cfRule type="cellIs" dxfId="10" priority="863" operator="equal">
      <formula>"不通过"</formula>
    </cfRule>
    <cfRule type="cellIs" dxfId="11" priority="862" operator="equal">
      <formula>"堵塞"</formula>
    </cfRule>
  </conditionalFormatting>
  <conditionalFormatting sqref="B39">
    <cfRule type="cellIs" dxfId="12" priority="861" operator="equal">
      <formula>"1级"</formula>
    </cfRule>
    <cfRule type="cellIs" dxfId="3" priority="860" operator="equal">
      <formula>"2级"</formula>
    </cfRule>
    <cfRule type="cellIs" dxfId="13" priority="859" operator="equal">
      <formula>"3级"</formula>
    </cfRule>
  </conditionalFormatting>
  <conditionalFormatting sqref="D39">
    <cfRule type="cellIs" dxfId="6" priority="858" operator="equal">
      <formula>"500/510/IVOC"</formula>
    </cfRule>
    <cfRule type="cellIs" dxfId="5" priority="857" operator="equal">
      <formula>"500/510"</formula>
    </cfRule>
    <cfRule type="cellIs" dxfId="4" priority="856" operator="equal">
      <formula>"IVOC"</formula>
    </cfRule>
    <cfRule type="cellIs" dxfId="3" priority="855" operator="equal">
      <formula>"新增"</formula>
    </cfRule>
    <cfRule type="cellIs" dxfId="2" priority="854" operator="equal">
      <formula>"优化"</formula>
    </cfRule>
    <cfRule type="cellIs" dxfId="1" priority="853" operator="equal">
      <formula>"更新"</formula>
    </cfRule>
    <cfRule type="cellIs" dxfId="0" priority="852" operator="equal">
      <formula>"废弃"</formula>
    </cfRule>
  </conditionalFormatting>
  <conditionalFormatting sqref="D39:E39">
    <cfRule type="cellIs" dxfId="7" priority="845" operator="equal">
      <formula>"新增"</formula>
    </cfRule>
  </conditionalFormatting>
  <conditionalFormatting sqref="E39">
    <cfRule type="cellIs" dxfId="6" priority="851" operator="equal">
      <formula>"500/510/IVOC"</formula>
    </cfRule>
    <cfRule type="cellIs" dxfId="5" priority="850" operator="equal">
      <formula>"500/510"</formula>
    </cfRule>
    <cfRule type="cellIs" dxfId="4" priority="849" operator="equal">
      <formula>"IVOC"</formula>
    </cfRule>
    <cfRule type="cellIs" dxfId="9" priority="848" operator="equal">
      <formula>"是"</formula>
    </cfRule>
    <cfRule type="cellIs" dxfId="8" priority="847" operator="equal">
      <formula>"否"</formula>
    </cfRule>
    <cfRule type="cellIs" dxfId="3" priority="846" operator="equal">
      <formula>"是"</formula>
    </cfRule>
    <cfRule type="cellIs" dxfId="7" priority="844" operator="equal">
      <formula>"是"</formula>
    </cfRule>
  </conditionalFormatting>
  <conditionalFormatting sqref="K39">
    <cfRule type="cellIs" dxfId="7" priority="843" operator="equal">
      <formula>"通过"</formula>
    </cfRule>
    <cfRule type="cellIs" dxfId="10" priority="842" operator="equal">
      <formula>"不通过"</formula>
    </cfRule>
    <cfRule type="cellIs" dxfId="11" priority="841" operator="equal">
      <formula>"堵塞"</formula>
    </cfRule>
  </conditionalFormatting>
  <conditionalFormatting sqref="B40">
    <cfRule type="cellIs" dxfId="12" priority="840" operator="equal">
      <formula>"1级"</formula>
    </cfRule>
    <cfRule type="cellIs" dxfId="3" priority="839" operator="equal">
      <formula>"2级"</formula>
    </cfRule>
    <cfRule type="cellIs" dxfId="13" priority="838" operator="equal">
      <formula>"3级"</formula>
    </cfRule>
  </conditionalFormatting>
  <conditionalFormatting sqref="D40">
    <cfRule type="cellIs" dxfId="6" priority="837" operator="equal">
      <formula>"500/510/IVOC"</formula>
    </cfRule>
    <cfRule type="cellIs" dxfId="5" priority="836" operator="equal">
      <formula>"500/510"</formula>
    </cfRule>
    <cfRule type="cellIs" dxfId="4" priority="835" operator="equal">
      <formula>"IVOC"</formula>
    </cfRule>
    <cfRule type="cellIs" dxfId="3" priority="834" operator="equal">
      <formula>"新增"</formula>
    </cfRule>
    <cfRule type="cellIs" dxfId="2" priority="833" operator="equal">
      <formula>"优化"</formula>
    </cfRule>
    <cfRule type="cellIs" dxfId="1" priority="832" operator="equal">
      <formula>"更新"</formula>
    </cfRule>
    <cfRule type="cellIs" dxfId="0" priority="831" operator="equal">
      <formula>"废弃"</formula>
    </cfRule>
  </conditionalFormatting>
  <conditionalFormatting sqref="D40:E40">
    <cfRule type="cellIs" dxfId="7" priority="824" operator="equal">
      <formula>"新增"</formula>
    </cfRule>
  </conditionalFormatting>
  <conditionalFormatting sqref="E40">
    <cfRule type="cellIs" dxfId="6" priority="830" operator="equal">
      <formula>"500/510/IVOC"</formula>
    </cfRule>
    <cfRule type="cellIs" dxfId="5" priority="829" operator="equal">
      <formula>"500/510"</formula>
    </cfRule>
    <cfRule type="cellIs" dxfId="4" priority="828" operator="equal">
      <formula>"IVOC"</formula>
    </cfRule>
    <cfRule type="cellIs" dxfId="9" priority="827" operator="equal">
      <formula>"是"</formula>
    </cfRule>
    <cfRule type="cellIs" dxfId="8" priority="826" operator="equal">
      <formula>"否"</formula>
    </cfRule>
    <cfRule type="cellIs" dxfId="3" priority="825" operator="equal">
      <formula>"是"</formula>
    </cfRule>
    <cfRule type="cellIs" dxfId="7" priority="823" operator="equal">
      <formula>"是"</formula>
    </cfRule>
  </conditionalFormatting>
  <conditionalFormatting sqref="K40">
    <cfRule type="cellIs" dxfId="7" priority="822" operator="equal">
      <formula>"通过"</formula>
    </cfRule>
    <cfRule type="cellIs" dxfId="10" priority="821" operator="equal">
      <formula>"不通过"</formula>
    </cfRule>
    <cfRule type="cellIs" dxfId="11" priority="820" operator="equal">
      <formula>"堵塞"</formula>
    </cfRule>
  </conditionalFormatting>
  <conditionalFormatting sqref="B41">
    <cfRule type="cellIs" dxfId="13" priority="817" operator="equal">
      <formula>"3级"</formula>
    </cfRule>
    <cfRule type="cellIs" dxfId="3" priority="818" operator="equal">
      <formula>"2级"</formula>
    </cfRule>
    <cfRule type="cellIs" dxfId="12" priority="819" operator="equal">
      <formula>"1级"</formula>
    </cfRule>
  </conditionalFormatting>
  <conditionalFormatting sqref="D41">
    <cfRule type="cellIs" dxfId="0" priority="810" operator="equal">
      <formula>"废弃"</formula>
    </cfRule>
    <cfRule type="cellIs" dxfId="1" priority="811" operator="equal">
      <formula>"更新"</formula>
    </cfRule>
    <cfRule type="cellIs" dxfId="2" priority="812" operator="equal">
      <formula>"优化"</formula>
    </cfRule>
    <cfRule type="cellIs" dxfId="3" priority="813" operator="equal">
      <formula>"新增"</formula>
    </cfRule>
    <cfRule type="cellIs" dxfId="4" priority="814" operator="equal">
      <formula>"IVOC"</formula>
    </cfRule>
    <cfRule type="cellIs" dxfId="5" priority="815" operator="equal">
      <formula>"500/510"</formula>
    </cfRule>
    <cfRule type="cellIs" dxfId="6" priority="816" operator="equal">
      <formula>"500/510/IVOC"</formula>
    </cfRule>
  </conditionalFormatting>
  <conditionalFormatting sqref="D41:E41">
    <cfRule type="cellIs" dxfId="7" priority="803" operator="equal">
      <formula>"新增"</formula>
    </cfRule>
  </conditionalFormatting>
  <conditionalFormatting sqref="E41">
    <cfRule type="cellIs" dxfId="7" priority="802" operator="equal">
      <formula>"是"</formula>
    </cfRule>
    <cfRule type="cellIs" dxfId="3" priority="804" operator="equal">
      <formula>"是"</formula>
    </cfRule>
    <cfRule type="cellIs" dxfId="8" priority="805" operator="equal">
      <formula>"否"</formula>
    </cfRule>
    <cfRule type="cellIs" dxfId="9" priority="806" operator="equal">
      <formula>"是"</formula>
    </cfRule>
    <cfRule type="cellIs" dxfId="4" priority="807" operator="equal">
      <formula>"IVOC"</formula>
    </cfRule>
    <cfRule type="cellIs" dxfId="5" priority="808" operator="equal">
      <formula>"500/510"</formula>
    </cfRule>
    <cfRule type="cellIs" dxfId="6" priority="809" operator="equal">
      <formula>"500/510/IVOC"</formula>
    </cfRule>
  </conditionalFormatting>
  <conditionalFormatting sqref="K41">
    <cfRule type="cellIs" dxfId="11" priority="799" operator="equal">
      <formula>"堵塞"</formula>
    </cfRule>
    <cfRule type="cellIs" dxfId="10" priority="800" operator="equal">
      <formula>"不通过"</formula>
    </cfRule>
    <cfRule type="cellIs" dxfId="7" priority="801" operator="equal">
      <formula>"通过"</formula>
    </cfRule>
  </conditionalFormatting>
  <conditionalFormatting sqref="B42">
    <cfRule type="cellIs" dxfId="12" priority="21" operator="equal">
      <formula>"1级"</formula>
    </cfRule>
    <cfRule type="cellIs" dxfId="3" priority="20" operator="equal">
      <formula>"2级"</formula>
    </cfRule>
    <cfRule type="cellIs" dxfId="13" priority="19" operator="equal">
      <formula>"3级"</formula>
    </cfRule>
  </conditionalFormatting>
  <conditionalFormatting sqref="D42">
    <cfRule type="cellIs" dxfId="6" priority="18" operator="equal">
      <formula>"500/510/IVOC"</formula>
    </cfRule>
    <cfRule type="cellIs" dxfId="5" priority="17" operator="equal">
      <formula>"500/510"</formula>
    </cfRule>
    <cfRule type="cellIs" dxfId="4" priority="16" operator="equal">
      <formula>"IVOC"</formula>
    </cfRule>
    <cfRule type="cellIs" dxfId="3" priority="15" operator="equal">
      <formula>"新增"</formula>
    </cfRule>
    <cfRule type="cellIs" dxfId="2" priority="14" operator="equal">
      <formula>"优化"</formula>
    </cfRule>
    <cfRule type="cellIs" dxfId="1" priority="13" operator="equal">
      <formula>"更新"</formula>
    </cfRule>
    <cfRule type="cellIs" dxfId="0" priority="12" operator="equal">
      <formula>"废弃"</formula>
    </cfRule>
  </conditionalFormatting>
  <conditionalFormatting sqref="D42:E42">
    <cfRule type="cellIs" dxfId="7" priority="5" operator="equal">
      <formula>"新增"</formula>
    </cfRule>
  </conditionalFormatting>
  <conditionalFormatting sqref="E42">
    <cfRule type="cellIs" dxfId="6" priority="11" operator="equal">
      <formula>"500/510/IVOC"</formula>
    </cfRule>
    <cfRule type="cellIs" dxfId="5" priority="10" operator="equal">
      <formula>"500/510"</formula>
    </cfRule>
    <cfRule type="cellIs" dxfId="4" priority="9" operator="equal">
      <formula>"IVOC"</formula>
    </cfRule>
    <cfRule type="cellIs" dxfId="9" priority="8" operator="equal">
      <formula>"是"</formula>
    </cfRule>
    <cfRule type="cellIs" dxfId="8" priority="7" operator="equal">
      <formula>"否"</formula>
    </cfRule>
    <cfRule type="cellIs" dxfId="3" priority="6" operator="equal">
      <formula>"是"</formula>
    </cfRule>
    <cfRule type="cellIs" dxfId="7" priority="4" operator="equal">
      <formula>"是"</formula>
    </cfRule>
  </conditionalFormatting>
  <conditionalFormatting sqref="K42">
    <cfRule type="cellIs" dxfId="7" priority="3" operator="equal">
      <formula>"通过"</formula>
    </cfRule>
    <cfRule type="cellIs" dxfId="10" priority="2" operator="equal">
      <formula>"不通过"</formula>
    </cfRule>
    <cfRule type="cellIs" dxfId="11" priority="1" operator="equal">
      <formula>"堵塞"</formula>
    </cfRule>
  </conditionalFormatting>
  <conditionalFormatting sqref="B43">
    <cfRule type="cellIs" dxfId="13" priority="796" operator="equal">
      <formula>"3级"</formula>
    </cfRule>
    <cfRule type="cellIs" dxfId="3" priority="797" operator="equal">
      <formula>"2级"</formula>
    </cfRule>
    <cfRule type="cellIs" dxfId="12" priority="798" operator="equal">
      <formula>"1级"</formula>
    </cfRule>
  </conditionalFormatting>
  <conditionalFormatting sqref="D43">
    <cfRule type="cellIs" dxfId="0" priority="789" operator="equal">
      <formula>"废弃"</formula>
    </cfRule>
    <cfRule type="cellIs" dxfId="1" priority="790" operator="equal">
      <formula>"更新"</formula>
    </cfRule>
    <cfRule type="cellIs" dxfId="2" priority="791" operator="equal">
      <formula>"优化"</formula>
    </cfRule>
    <cfRule type="cellIs" dxfId="3" priority="792" operator="equal">
      <formula>"新增"</formula>
    </cfRule>
    <cfRule type="cellIs" dxfId="4" priority="793" operator="equal">
      <formula>"IVOC"</formula>
    </cfRule>
    <cfRule type="cellIs" dxfId="5" priority="794" operator="equal">
      <formula>"500/510"</formula>
    </cfRule>
    <cfRule type="cellIs" dxfId="6" priority="795" operator="equal">
      <formula>"500/510/IVOC"</formula>
    </cfRule>
  </conditionalFormatting>
  <conditionalFormatting sqref="D43:E43">
    <cfRule type="cellIs" dxfId="7" priority="782" operator="equal">
      <formula>"新增"</formula>
    </cfRule>
  </conditionalFormatting>
  <conditionalFormatting sqref="E43">
    <cfRule type="cellIs" dxfId="7" priority="781" operator="equal">
      <formula>"是"</formula>
    </cfRule>
    <cfRule type="cellIs" dxfId="3" priority="783" operator="equal">
      <formula>"是"</formula>
    </cfRule>
    <cfRule type="cellIs" dxfId="8" priority="784" operator="equal">
      <formula>"否"</formula>
    </cfRule>
    <cfRule type="cellIs" dxfId="9" priority="785" operator="equal">
      <formula>"是"</formula>
    </cfRule>
    <cfRule type="cellIs" dxfId="4" priority="786" operator="equal">
      <formula>"IVOC"</formula>
    </cfRule>
    <cfRule type="cellIs" dxfId="5" priority="787" operator="equal">
      <formula>"500/510"</formula>
    </cfRule>
    <cfRule type="cellIs" dxfId="6" priority="788" operator="equal">
      <formula>"500/510/IVOC"</formula>
    </cfRule>
  </conditionalFormatting>
  <conditionalFormatting sqref="K43">
    <cfRule type="cellIs" dxfId="11" priority="778" operator="equal">
      <formula>"堵塞"</formula>
    </cfRule>
    <cfRule type="cellIs" dxfId="10" priority="779" operator="equal">
      <formula>"不通过"</formula>
    </cfRule>
    <cfRule type="cellIs" dxfId="7" priority="780" operator="equal">
      <formula>"通过"</formula>
    </cfRule>
  </conditionalFormatting>
  <conditionalFormatting sqref="B44">
    <cfRule type="cellIs" dxfId="13" priority="775" operator="equal">
      <formula>"3级"</formula>
    </cfRule>
    <cfRule type="cellIs" dxfId="3" priority="776" operator="equal">
      <formula>"2级"</formula>
    </cfRule>
    <cfRule type="cellIs" dxfId="12" priority="777" operator="equal">
      <formula>"1级"</formula>
    </cfRule>
  </conditionalFormatting>
  <conditionalFormatting sqref="D44">
    <cfRule type="cellIs" dxfId="0" priority="768" operator="equal">
      <formula>"废弃"</formula>
    </cfRule>
    <cfRule type="cellIs" dxfId="1" priority="769" operator="equal">
      <formula>"更新"</formula>
    </cfRule>
    <cfRule type="cellIs" dxfId="2" priority="770" operator="equal">
      <formula>"优化"</formula>
    </cfRule>
    <cfRule type="cellIs" dxfId="3" priority="771" operator="equal">
      <formula>"新增"</formula>
    </cfRule>
    <cfRule type="cellIs" dxfId="4" priority="772" operator="equal">
      <formula>"IVOC"</formula>
    </cfRule>
    <cfRule type="cellIs" dxfId="5" priority="773" operator="equal">
      <formula>"500/510"</formula>
    </cfRule>
    <cfRule type="cellIs" dxfId="6" priority="774" operator="equal">
      <formula>"500/510/IVOC"</formula>
    </cfRule>
  </conditionalFormatting>
  <conditionalFormatting sqref="D44:E44">
    <cfRule type="cellIs" dxfId="7" priority="761" operator="equal">
      <formula>"新增"</formula>
    </cfRule>
  </conditionalFormatting>
  <conditionalFormatting sqref="E44">
    <cfRule type="cellIs" dxfId="7" priority="760" operator="equal">
      <formula>"是"</formula>
    </cfRule>
    <cfRule type="cellIs" dxfId="3" priority="762" operator="equal">
      <formula>"是"</formula>
    </cfRule>
    <cfRule type="cellIs" dxfId="8" priority="763" operator="equal">
      <formula>"否"</formula>
    </cfRule>
    <cfRule type="cellIs" dxfId="9" priority="764" operator="equal">
      <formula>"是"</formula>
    </cfRule>
    <cfRule type="cellIs" dxfId="4" priority="765" operator="equal">
      <formula>"IVOC"</formula>
    </cfRule>
    <cfRule type="cellIs" dxfId="5" priority="766" operator="equal">
      <formula>"500/510"</formula>
    </cfRule>
    <cfRule type="cellIs" dxfId="6" priority="767" operator="equal">
      <formula>"500/510/IVOC"</formula>
    </cfRule>
  </conditionalFormatting>
  <conditionalFormatting sqref="K44">
    <cfRule type="cellIs" dxfId="11" priority="757" operator="equal">
      <formula>"堵塞"</formula>
    </cfRule>
    <cfRule type="cellIs" dxfId="10" priority="758" operator="equal">
      <formula>"不通过"</formula>
    </cfRule>
    <cfRule type="cellIs" dxfId="7" priority="759" operator="equal">
      <formula>"通过"</formula>
    </cfRule>
  </conditionalFormatting>
  <conditionalFormatting sqref="B45">
    <cfRule type="cellIs" dxfId="13" priority="754" operator="equal">
      <formula>"3级"</formula>
    </cfRule>
    <cfRule type="cellIs" dxfId="3" priority="755" operator="equal">
      <formula>"2级"</formula>
    </cfRule>
    <cfRule type="cellIs" dxfId="12" priority="756" operator="equal">
      <formula>"1级"</formula>
    </cfRule>
  </conditionalFormatting>
  <conditionalFormatting sqref="D45">
    <cfRule type="cellIs" dxfId="0" priority="747" operator="equal">
      <formula>"废弃"</formula>
    </cfRule>
    <cfRule type="cellIs" dxfId="1" priority="748" operator="equal">
      <formula>"更新"</formula>
    </cfRule>
    <cfRule type="cellIs" dxfId="2" priority="749" operator="equal">
      <formula>"优化"</formula>
    </cfRule>
    <cfRule type="cellIs" dxfId="3" priority="750" operator="equal">
      <formula>"新增"</formula>
    </cfRule>
    <cfRule type="cellIs" dxfId="4" priority="751" operator="equal">
      <formula>"IVOC"</formula>
    </cfRule>
    <cfRule type="cellIs" dxfId="5" priority="752" operator="equal">
      <formula>"500/510"</formula>
    </cfRule>
    <cfRule type="cellIs" dxfId="6" priority="753" operator="equal">
      <formula>"500/510/IVOC"</formula>
    </cfRule>
  </conditionalFormatting>
  <conditionalFormatting sqref="D45:E45">
    <cfRule type="cellIs" dxfId="7" priority="740" operator="equal">
      <formula>"新增"</formula>
    </cfRule>
  </conditionalFormatting>
  <conditionalFormatting sqref="E45">
    <cfRule type="cellIs" dxfId="7" priority="739" operator="equal">
      <formula>"是"</formula>
    </cfRule>
    <cfRule type="cellIs" dxfId="3" priority="741" operator="equal">
      <formula>"是"</formula>
    </cfRule>
    <cfRule type="cellIs" dxfId="8" priority="742" operator="equal">
      <formula>"否"</formula>
    </cfRule>
    <cfRule type="cellIs" dxfId="9" priority="743" operator="equal">
      <formula>"是"</formula>
    </cfRule>
    <cfRule type="cellIs" dxfId="4" priority="744" operator="equal">
      <formula>"IVOC"</formula>
    </cfRule>
    <cfRule type="cellIs" dxfId="5" priority="745" operator="equal">
      <formula>"500/510"</formula>
    </cfRule>
    <cfRule type="cellIs" dxfId="6" priority="746" operator="equal">
      <formula>"500/510/IVOC"</formula>
    </cfRule>
  </conditionalFormatting>
  <conditionalFormatting sqref="K45">
    <cfRule type="cellIs" dxfId="11" priority="736" operator="equal">
      <formula>"堵塞"</formula>
    </cfRule>
    <cfRule type="cellIs" dxfId="10" priority="737" operator="equal">
      <formula>"不通过"</formula>
    </cfRule>
    <cfRule type="cellIs" dxfId="7" priority="738" operator="equal">
      <formula>"通过"</formula>
    </cfRule>
  </conditionalFormatting>
  <conditionalFormatting sqref="B46">
    <cfRule type="cellIs" dxfId="13" priority="733" operator="equal">
      <formula>"3级"</formula>
    </cfRule>
    <cfRule type="cellIs" dxfId="3" priority="734" operator="equal">
      <formula>"2级"</formula>
    </cfRule>
    <cfRule type="cellIs" dxfId="12" priority="735" operator="equal">
      <formula>"1级"</formula>
    </cfRule>
  </conditionalFormatting>
  <conditionalFormatting sqref="D46">
    <cfRule type="cellIs" dxfId="0" priority="726" operator="equal">
      <formula>"废弃"</formula>
    </cfRule>
    <cfRule type="cellIs" dxfId="1" priority="727" operator="equal">
      <formula>"更新"</formula>
    </cfRule>
    <cfRule type="cellIs" dxfId="2" priority="728" operator="equal">
      <formula>"优化"</formula>
    </cfRule>
    <cfRule type="cellIs" dxfId="3" priority="729" operator="equal">
      <formula>"新增"</formula>
    </cfRule>
    <cfRule type="cellIs" dxfId="4" priority="730" operator="equal">
      <formula>"IVOC"</formula>
    </cfRule>
    <cfRule type="cellIs" dxfId="5" priority="731" operator="equal">
      <formula>"500/510"</formula>
    </cfRule>
    <cfRule type="cellIs" dxfId="6" priority="732" operator="equal">
      <formula>"500/510/IVOC"</formula>
    </cfRule>
  </conditionalFormatting>
  <conditionalFormatting sqref="D46:E46">
    <cfRule type="cellIs" dxfId="7" priority="719" operator="equal">
      <formula>"新增"</formula>
    </cfRule>
  </conditionalFormatting>
  <conditionalFormatting sqref="E46">
    <cfRule type="cellIs" dxfId="7" priority="718" operator="equal">
      <formula>"是"</formula>
    </cfRule>
    <cfRule type="cellIs" dxfId="3" priority="720" operator="equal">
      <formula>"是"</formula>
    </cfRule>
    <cfRule type="cellIs" dxfId="8" priority="721" operator="equal">
      <formula>"否"</formula>
    </cfRule>
    <cfRule type="cellIs" dxfId="9" priority="722" operator="equal">
      <formula>"是"</formula>
    </cfRule>
    <cfRule type="cellIs" dxfId="4" priority="723" operator="equal">
      <formula>"IVOC"</formula>
    </cfRule>
    <cfRule type="cellIs" dxfId="5" priority="724" operator="equal">
      <formula>"500/510"</formula>
    </cfRule>
    <cfRule type="cellIs" dxfId="6" priority="725" operator="equal">
      <formula>"500/510/IVOC"</formula>
    </cfRule>
  </conditionalFormatting>
  <conditionalFormatting sqref="K46">
    <cfRule type="cellIs" dxfId="11" priority="715" operator="equal">
      <formula>"堵塞"</formula>
    </cfRule>
    <cfRule type="cellIs" dxfId="10" priority="716" operator="equal">
      <formula>"不通过"</formula>
    </cfRule>
    <cfRule type="cellIs" dxfId="7" priority="717" operator="equal">
      <formula>"通过"</formula>
    </cfRule>
  </conditionalFormatting>
  <conditionalFormatting sqref="B47">
    <cfRule type="cellIs" dxfId="13" priority="712" operator="equal">
      <formula>"3级"</formula>
    </cfRule>
    <cfRule type="cellIs" dxfId="3" priority="713" operator="equal">
      <formula>"2级"</formula>
    </cfRule>
    <cfRule type="cellIs" dxfId="12" priority="714" operator="equal">
      <formula>"1级"</formula>
    </cfRule>
  </conditionalFormatting>
  <conditionalFormatting sqref="D47">
    <cfRule type="cellIs" dxfId="0" priority="705" operator="equal">
      <formula>"废弃"</formula>
    </cfRule>
    <cfRule type="cellIs" dxfId="1" priority="706" operator="equal">
      <formula>"更新"</formula>
    </cfRule>
    <cfRule type="cellIs" dxfId="2" priority="707" operator="equal">
      <formula>"优化"</formula>
    </cfRule>
    <cfRule type="cellIs" dxfId="3" priority="708" operator="equal">
      <formula>"新增"</formula>
    </cfRule>
    <cfRule type="cellIs" dxfId="4" priority="709" operator="equal">
      <formula>"IVOC"</formula>
    </cfRule>
    <cfRule type="cellIs" dxfId="5" priority="710" operator="equal">
      <formula>"500/510"</formula>
    </cfRule>
    <cfRule type="cellIs" dxfId="6" priority="711" operator="equal">
      <formula>"500/510/IVOC"</formula>
    </cfRule>
  </conditionalFormatting>
  <conditionalFormatting sqref="D47:E47">
    <cfRule type="cellIs" dxfId="7" priority="698" operator="equal">
      <formula>"新增"</formula>
    </cfRule>
  </conditionalFormatting>
  <conditionalFormatting sqref="E47">
    <cfRule type="cellIs" dxfId="7" priority="697" operator="equal">
      <formula>"是"</formula>
    </cfRule>
    <cfRule type="cellIs" dxfId="3" priority="699" operator="equal">
      <formula>"是"</formula>
    </cfRule>
    <cfRule type="cellIs" dxfId="8" priority="700" operator="equal">
      <formula>"否"</formula>
    </cfRule>
    <cfRule type="cellIs" dxfId="9" priority="701" operator="equal">
      <formula>"是"</formula>
    </cfRule>
    <cfRule type="cellIs" dxfId="4" priority="702" operator="equal">
      <formula>"IVOC"</formula>
    </cfRule>
    <cfRule type="cellIs" dxfId="5" priority="703" operator="equal">
      <formula>"500/510"</formula>
    </cfRule>
    <cfRule type="cellIs" dxfId="6" priority="704" operator="equal">
      <formula>"500/510/IVOC"</formula>
    </cfRule>
  </conditionalFormatting>
  <conditionalFormatting sqref="K47">
    <cfRule type="cellIs" dxfId="11" priority="694" operator="equal">
      <formula>"堵塞"</formula>
    </cfRule>
    <cfRule type="cellIs" dxfId="10" priority="695" operator="equal">
      <formula>"不通过"</formula>
    </cfRule>
    <cfRule type="cellIs" dxfId="7" priority="696" operator="equal">
      <formula>"通过"</formula>
    </cfRule>
  </conditionalFormatting>
  <conditionalFormatting sqref="B48">
    <cfRule type="cellIs" dxfId="13" priority="691" operator="equal">
      <formula>"3级"</formula>
    </cfRule>
    <cfRule type="cellIs" dxfId="3" priority="692" operator="equal">
      <formula>"2级"</formula>
    </cfRule>
    <cfRule type="cellIs" dxfId="12" priority="693" operator="equal">
      <formula>"1级"</formula>
    </cfRule>
  </conditionalFormatting>
  <conditionalFormatting sqref="D48">
    <cfRule type="cellIs" dxfId="0" priority="684" operator="equal">
      <formula>"废弃"</formula>
    </cfRule>
    <cfRule type="cellIs" dxfId="1" priority="685" operator="equal">
      <formula>"更新"</formula>
    </cfRule>
    <cfRule type="cellIs" dxfId="2" priority="686" operator="equal">
      <formula>"优化"</formula>
    </cfRule>
    <cfRule type="cellIs" dxfId="3" priority="687" operator="equal">
      <formula>"新增"</formula>
    </cfRule>
    <cfRule type="cellIs" dxfId="4" priority="688" operator="equal">
      <formula>"IVOC"</formula>
    </cfRule>
    <cfRule type="cellIs" dxfId="5" priority="689" operator="equal">
      <formula>"500/510"</formula>
    </cfRule>
    <cfRule type="cellIs" dxfId="6" priority="690" operator="equal">
      <formula>"500/510/IVOC"</formula>
    </cfRule>
  </conditionalFormatting>
  <conditionalFormatting sqref="D48:E48">
    <cfRule type="cellIs" dxfId="7" priority="677" operator="equal">
      <formula>"新增"</formula>
    </cfRule>
  </conditionalFormatting>
  <conditionalFormatting sqref="E48">
    <cfRule type="cellIs" dxfId="7" priority="676" operator="equal">
      <formula>"是"</formula>
    </cfRule>
    <cfRule type="cellIs" dxfId="3" priority="678" operator="equal">
      <formula>"是"</formula>
    </cfRule>
    <cfRule type="cellIs" dxfId="8" priority="679" operator="equal">
      <formula>"否"</formula>
    </cfRule>
    <cfRule type="cellIs" dxfId="9" priority="680" operator="equal">
      <formula>"是"</formula>
    </cfRule>
    <cfRule type="cellIs" dxfId="4" priority="681" operator="equal">
      <formula>"IVOC"</formula>
    </cfRule>
    <cfRule type="cellIs" dxfId="5" priority="682" operator="equal">
      <formula>"500/510"</formula>
    </cfRule>
    <cfRule type="cellIs" dxfId="6" priority="683" operator="equal">
      <formula>"500/510/IVOC"</formula>
    </cfRule>
  </conditionalFormatting>
  <conditionalFormatting sqref="K48">
    <cfRule type="cellIs" dxfId="11" priority="673" operator="equal">
      <formula>"堵塞"</formula>
    </cfRule>
    <cfRule type="cellIs" dxfId="10" priority="674" operator="equal">
      <formula>"不通过"</formula>
    </cfRule>
    <cfRule type="cellIs" dxfId="7" priority="675" operator="equal">
      <formula>"通过"</formula>
    </cfRule>
  </conditionalFormatting>
  <conditionalFormatting sqref="B49">
    <cfRule type="cellIs" dxfId="13" priority="670" operator="equal">
      <formula>"3级"</formula>
    </cfRule>
    <cfRule type="cellIs" dxfId="3" priority="671" operator="equal">
      <formula>"2级"</formula>
    </cfRule>
    <cfRule type="cellIs" dxfId="12" priority="672" operator="equal">
      <formula>"1级"</formula>
    </cfRule>
  </conditionalFormatting>
  <conditionalFormatting sqref="D49">
    <cfRule type="cellIs" dxfId="0" priority="663" operator="equal">
      <formula>"废弃"</formula>
    </cfRule>
    <cfRule type="cellIs" dxfId="1" priority="664" operator="equal">
      <formula>"更新"</formula>
    </cfRule>
    <cfRule type="cellIs" dxfId="2" priority="665" operator="equal">
      <formula>"优化"</formula>
    </cfRule>
    <cfRule type="cellIs" dxfId="3" priority="666" operator="equal">
      <formula>"新增"</formula>
    </cfRule>
    <cfRule type="cellIs" dxfId="4" priority="667" operator="equal">
      <formula>"IVOC"</formula>
    </cfRule>
    <cfRule type="cellIs" dxfId="5" priority="668" operator="equal">
      <formula>"500/510"</formula>
    </cfRule>
    <cfRule type="cellIs" dxfId="6" priority="669" operator="equal">
      <formula>"500/510/IVOC"</formula>
    </cfRule>
  </conditionalFormatting>
  <conditionalFormatting sqref="D49:E49">
    <cfRule type="cellIs" dxfId="7" priority="656" operator="equal">
      <formula>"新增"</formula>
    </cfRule>
  </conditionalFormatting>
  <conditionalFormatting sqref="E49">
    <cfRule type="cellIs" dxfId="7" priority="655" operator="equal">
      <formula>"是"</formula>
    </cfRule>
    <cfRule type="cellIs" dxfId="3" priority="657" operator="equal">
      <formula>"是"</formula>
    </cfRule>
    <cfRule type="cellIs" dxfId="8" priority="658" operator="equal">
      <formula>"否"</formula>
    </cfRule>
    <cfRule type="cellIs" dxfId="9" priority="659" operator="equal">
      <formula>"是"</formula>
    </cfRule>
    <cfRule type="cellIs" dxfId="4" priority="660" operator="equal">
      <formula>"IVOC"</formula>
    </cfRule>
    <cfRule type="cellIs" dxfId="5" priority="661" operator="equal">
      <formula>"500/510"</formula>
    </cfRule>
    <cfRule type="cellIs" dxfId="6" priority="662" operator="equal">
      <formula>"500/510/IVOC"</formula>
    </cfRule>
  </conditionalFormatting>
  <conditionalFormatting sqref="K49">
    <cfRule type="cellIs" dxfId="11" priority="652" operator="equal">
      <formula>"堵塞"</formula>
    </cfRule>
    <cfRule type="cellIs" dxfId="10" priority="653" operator="equal">
      <formula>"不通过"</formula>
    </cfRule>
    <cfRule type="cellIs" dxfId="7" priority="654" operator="equal">
      <formula>"通过"</formula>
    </cfRule>
  </conditionalFormatting>
  <conditionalFormatting sqref="B50">
    <cfRule type="cellIs" dxfId="13" priority="649" operator="equal">
      <formula>"3级"</formula>
    </cfRule>
    <cfRule type="cellIs" dxfId="3" priority="650" operator="equal">
      <formula>"2级"</formula>
    </cfRule>
    <cfRule type="cellIs" dxfId="12" priority="651" operator="equal">
      <formula>"1级"</formula>
    </cfRule>
  </conditionalFormatting>
  <conditionalFormatting sqref="D50">
    <cfRule type="cellIs" dxfId="0" priority="642" operator="equal">
      <formula>"废弃"</formula>
    </cfRule>
    <cfRule type="cellIs" dxfId="1" priority="643" operator="equal">
      <formula>"更新"</formula>
    </cfRule>
    <cfRule type="cellIs" dxfId="2" priority="644" operator="equal">
      <formula>"优化"</formula>
    </cfRule>
    <cfRule type="cellIs" dxfId="3" priority="645" operator="equal">
      <formula>"新增"</formula>
    </cfRule>
    <cfRule type="cellIs" dxfId="4" priority="646" operator="equal">
      <formula>"IVOC"</formula>
    </cfRule>
    <cfRule type="cellIs" dxfId="5" priority="647" operator="equal">
      <formula>"500/510"</formula>
    </cfRule>
    <cfRule type="cellIs" dxfId="6" priority="648" operator="equal">
      <formula>"500/510/IVOC"</formula>
    </cfRule>
  </conditionalFormatting>
  <conditionalFormatting sqref="D50:E50">
    <cfRule type="cellIs" dxfId="7" priority="635" operator="equal">
      <formula>"新增"</formula>
    </cfRule>
  </conditionalFormatting>
  <conditionalFormatting sqref="E50">
    <cfRule type="cellIs" dxfId="7" priority="634" operator="equal">
      <formula>"是"</formula>
    </cfRule>
    <cfRule type="cellIs" dxfId="3" priority="636" operator="equal">
      <formula>"是"</formula>
    </cfRule>
    <cfRule type="cellIs" dxfId="8" priority="637" operator="equal">
      <formula>"否"</formula>
    </cfRule>
    <cfRule type="cellIs" dxfId="9" priority="638" operator="equal">
      <formula>"是"</formula>
    </cfRule>
    <cfRule type="cellIs" dxfId="4" priority="639" operator="equal">
      <formula>"IVOC"</formula>
    </cfRule>
    <cfRule type="cellIs" dxfId="5" priority="640" operator="equal">
      <formula>"500/510"</formula>
    </cfRule>
    <cfRule type="cellIs" dxfId="6" priority="641" operator="equal">
      <formula>"500/510/IVOC"</formula>
    </cfRule>
  </conditionalFormatting>
  <conditionalFormatting sqref="K50">
    <cfRule type="cellIs" dxfId="11" priority="631" operator="equal">
      <formula>"堵塞"</formula>
    </cfRule>
    <cfRule type="cellIs" dxfId="10" priority="632" operator="equal">
      <formula>"不通过"</formula>
    </cfRule>
    <cfRule type="cellIs" dxfId="7" priority="633" operator="equal">
      <formula>"通过"</formula>
    </cfRule>
  </conditionalFormatting>
  <conditionalFormatting sqref="B51">
    <cfRule type="cellIs" dxfId="13" priority="628" operator="equal">
      <formula>"3级"</formula>
    </cfRule>
    <cfRule type="cellIs" dxfId="3" priority="629" operator="equal">
      <formula>"2级"</formula>
    </cfRule>
    <cfRule type="cellIs" dxfId="12" priority="630" operator="equal">
      <formula>"1级"</formula>
    </cfRule>
  </conditionalFormatting>
  <conditionalFormatting sqref="D51">
    <cfRule type="cellIs" dxfId="0" priority="621" operator="equal">
      <formula>"废弃"</formula>
    </cfRule>
    <cfRule type="cellIs" dxfId="1" priority="622" operator="equal">
      <formula>"更新"</formula>
    </cfRule>
    <cfRule type="cellIs" dxfId="2" priority="623" operator="equal">
      <formula>"优化"</formula>
    </cfRule>
    <cfRule type="cellIs" dxfId="3" priority="624" operator="equal">
      <formula>"新增"</formula>
    </cfRule>
    <cfRule type="cellIs" dxfId="4" priority="625" operator="equal">
      <formula>"IVOC"</formula>
    </cfRule>
    <cfRule type="cellIs" dxfId="5" priority="626" operator="equal">
      <formula>"500/510"</formula>
    </cfRule>
    <cfRule type="cellIs" dxfId="6" priority="627" operator="equal">
      <formula>"500/510/IVOC"</formula>
    </cfRule>
  </conditionalFormatting>
  <conditionalFormatting sqref="D51:E51">
    <cfRule type="cellIs" dxfId="7" priority="614" operator="equal">
      <formula>"新增"</formula>
    </cfRule>
  </conditionalFormatting>
  <conditionalFormatting sqref="E51">
    <cfRule type="cellIs" dxfId="7" priority="613" operator="equal">
      <formula>"是"</formula>
    </cfRule>
    <cfRule type="cellIs" dxfId="3" priority="615" operator="equal">
      <formula>"是"</formula>
    </cfRule>
    <cfRule type="cellIs" dxfId="8" priority="616" operator="equal">
      <formula>"否"</formula>
    </cfRule>
    <cfRule type="cellIs" dxfId="9" priority="617" operator="equal">
      <formula>"是"</formula>
    </cfRule>
    <cfRule type="cellIs" dxfId="4" priority="618" operator="equal">
      <formula>"IVOC"</formula>
    </cfRule>
    <cfRule type="cellIs" dxfId="5" priority="619" operator="equal">
      <formula>"500/510"</formula>
    </cfRule>
    <cfRule type="cellIs" dxfId="6" priority="620" operator="equal">
      <formula>"500/510/IVOC"</formula>
    </cfRule>
  </conditionalFormatting>
  <conditionalFormatting sqref="K51">
    <cfRule type="cellIs" dxfId="11" priority="610" operator="equal">
      <formula>"堵塞"</formula>
    </cfRule>
    <cfRule type="cellIs" dxfId="10" priority="611" operator="equal">
      <formula>"不通过"</formula>
    </cfRule>
    <cfRule type="cellIs" dxfId="7" priority="612" operator="equal">
      <formula>"通过"</formula>
    </cfRule>
  </conditionalFormatting>
  <conditionalFormatting sqref="B52">
    <cfRule type="cellIs" dxfId="13" priority="607" operator="equal">
      <formula>"3级"</formula>
    </cfRule>
    <cfRule type="cellIs" dxfId="3" priority="608" operator="equal">
      <formula>"2级"</formula>
    </cfRule>
    <cfRule type="cellIs" dxfId="12" priority="609" operator="equal">
      <formula>"1级"</formula>
    </cfRule>
  </conditionalFormatting>
  <conditionalFormatting sqref="D52">
    <cfRule type="cellIs" dxfId="0" priority="600" operator="equal">
      <formula>"废弃"</formula>
    </cfRule>
    <cfRule type="cellIs" dxfId="1" priority="601" operator="equal">
      <formula>"更新"</formula>
    </cfRule>
    <cfRule type="cellIs" dxfId="2" priority="602" operator="equal">
      <formula>"优化"</formula>
    </cfRule>
    <cfRule type="cellIs" dxfId="3" priority="603" operator="equal">
      <formula>"新增"</formula>
    </cfRule>
    <cfRule type="cellIs" dxfId="4" priority="604" operator="equal">
      <formula>"IVOC"</formula>
    </cfRule>
    <cfRule type="cellIs" dxfId="5" priority="605" operator="equal">
      <formula>"500/510"</formula>
    </cfRule>
    <cfRule type="cellIs" dxfId="6" priority="606" operator="equal">
      <formula>"500/510/IVOC"</formula>
    </cfRule>
  </conditionalFormatting>
  <conditionalFormatting sqref="D52:E52">
    <cfRule type="cellIs" dxfId="7" priority="593" operator="equal">
      <formula>"新增"</formula>
    </cfRule>
  </conditionalFormatting>
  <conditionalFormatting sqref="E52">
    <cfRule type="cellIs" dxfId="7" priority="592" operator="equal">
      <formula>"是"</formula>
    </cfRule>
    <cfRule type="cellIs" dxfId="3" priority="594" operator="equal">
      <formula>"是"</formula>
    </cfRule>
    <cfRule type="cellIs" dxfId="8" priority="595" operator="equal">
      <formula>"否"</formula>
    </cfRule>
    <cfRule type="cellIs" dxfId="9" priority="596" operator="equal">
      <formula>"是"</formula>
    </cfRule>
    <cfRule type="cellIs" dxfId="4" priority="597" operator="equal">
      <formula>"IVOC"</formula>
    </cfRule>
    <cfRule type="cellIs" dxfId="5" priority="598" operator="equal">
      <formula>"500/510"</formula>
    </cfRule>
    <cfRule type="cellIs" dxfId="6" priority="599" operator="equal">
      <formula>"500/510/IVOC"</formula>
    </cfRule>
  </conditionalFormatting>
  <conditionalFormatting sqref="K52">
    <cfRule type="cellIs" dxfId="11" priority="589" operator="equal">
      <formula>"堵塞"</formula>
    </cfRule>
    <cfRule type="cellIs" dxfId="10" priority="590" operator="equal">
      <formula>"不通过"</formula>
    </cfRule>
    <cfRule type="cellIs" dxfId="7" priority="591" operator="equal">
      <formula>"通过"</formula>
    </cfRule>
  </conditionalFormatting>
  <conditionalFormatting sqref="B53">
    <cfRule type="cellIs" dxfId="13" priority="586" operator="equal">
      <formula>"3级"</formula>
    </cfRule>
    <cfRule type="cellIs" dxfId="3" priority="587" operator="equal">
      <formula>"2级"</formula>
    </cfRule>
    <cfRule type="cellIs" dxfId="12" priority="588" operator="equal">
      <formula>"1级"</formula>
    </cfRule>
  </conditionalFormatting>
  <conditionalFormatting sqref="D53">
    <cfRule type="cellIs" dxfId="0" priority="579" operator="equal">
      <formula>"废弃"</formula>
    </cfRule>
    <cfRule type="cellIs" dxfId="1" priority="580" operator="equal">
      <formula>"更新"</formula>
    </cfRule>
    <cfRule type="cellIs" dxfId="2" priority="581" operator="equal">
      <formula>"优化"</formula>
    </cfRule>
    <cfRule type="cellIs" dxfId="3" priority="582" operator="equal">
      <formula>"新增"</formula>
    </cfRule>
    <cfRule type="cellIs" dxfId="4" priority="583" operator="equal">
      <formula>"IVOC"</formula>
    </cfRule>
    <cfRule type="cellIs" dxfId="5" priority="584" operator="equal">
      <formula>"500/510"</formula>
    </cfRule>
    <cfRule type="cellIs" dxfId="6" priority="585" operator="equal">
      <formula>"500/510/IVOC"</formula>
    </cfRule>
  </conditionalFormatting>
  <conditionalFormatting sqref="D53:E53">
    <cfRule type="cellIs" dxfId="7" priority="572" operator="equal">
      <formula>"新增"</formula>
    </cfRule>
  </conditionalFormatting>
  <conditionalFormatting sqref="E53">
    <cfRule type="cellIs" dxfId="7" priority="571" operator="equal">
      <formula>"是"</formula>
    </cfRule>
    <cfRule type="cellIs" dxfId="3" priority="573" operator="equal">
      <formula>"是"</formula>
    </cfRule>
    <cfRule type="cellIs" dxfId="8" priority="574" operator="equal">
      <formula>"否"</formula>
    </cfRule>
    <cfRule type="cellIs" dxfId="9" priority="575" operator="equal">
      <formula>"是"</formula>
    </cfRule>
    <cfRule type="cellIs" dxfId="4" priority="576" operator="equal">
      <formula>"IVOC"</formula>
    </cfRule>
    <cfRule type="cellIs" dxfId="5" priority="577" operator="equal">
      <formula>"500/510"</formula>
    </cfRule>
    <cfRule type="cellIs" dxfId="6" priority="578" operator="equal">
      <formula>"500/510/IVOC"</formula>
    </cfRule>
  </conditionalFormatting>
  <conditionalFormatting sqref="K53">
    <cfRule type="cellIs" dxfId="11" priority="568" operator="equal">
      <formula>"堵塞"</formula>
    </cfRule>
    <cfRule type="cellIs" dxfId="10" priority="569" operator="equal">
      <formula>"不通过"</formula>
    </cfRule>
    <cfRule type="cellIs" dxfId="7" priority="570" operator="equal">
      <formula>"通过"</formula>
    </cfRule>
  </conditionalFormatting>
  <conditionalFormatting sqref="B54">
    <cfRule type="cellIs" dxfId="13" priority="565" operator="equal">
      <formula>"3级"</formula>
    </cfRule>
    <cfRule type="cellIs" dxfId="3" priority="566" operator="equal">
      <formula>"2级"</formula>
    </cfRule>
    <cfRule type="cellIs" dxfId="12" priority="567" operator="equal">
      <formula>"1级"</formula>
    </cfRule>
  </conditionalFormatting>
  <conditionalFormatting sqref="D54">
    <cfRule type="cellIs" dxfId="0" priority="558" operator="equal">
      <formula>"废弃"</formula>
    </cfRule>
    <cfRule type="cellIs" dxfId="1" priority="559" operator="equal">
      <formula>"更新"</formula>
    </cfRule>
    <cfRule type="cellIs" dxfId="2" priority="560" operator="equal">
      <formula>"优化"</formula>
    </cfRule>
    <cfRule type="cellIs" dxfId="3" priority="561" operator="equal">
      <formula>"新增"</formula>
    </cfRule>
    <cfRule type="cellIs" dxfId="4" priority="562" operator="equal">
      <formula>"IVOC"</formula>
    </cfRule>
    <cfRule type="cellIs" dxfId="5" priority="563" operator="equal">
      <formula>"500/510"</formula>
    </cfRule>
    <cfRule type="cellIs" dxfId="6" priority="564" operator="equal">
      <formula>"500/510/IVOC"</formula>
    </cfRule>
  </conditionalFormatting>
  <conditionalFormatting sqref="D54:E54">
    <cfRule type="cellIs" dxfId="7" priority="551" operator="equal">
      <formula>"新增"</formula>
    </cfRule>
  </conditionalFormatting>
  <conditionalFormatting sqref="E54">
    <cfRule type="cellIs" dxfId="7" priority="550" operator="equal">
      <formula>"是"</formula>
    </cfRule>
    <cfRule type="cellIs" dxfId="3" priority="552" operator="equal">
      <formula>"是"</formula>
    </cfRule>
    <cfRule type="cellIs" dxfId="8" priority="553" operator="equal">
      <formula>"否"</formula>
    </cfRule>
    <cfRule type="cellIs" dxfId="9" priority="554" operator="equal">
      <formula>"是"</formula>
    </cfRule>
    <cfRule type="cellIs" dxfId="4" priority="555" operator="equal">
      <formula>"IVOC"</formula>
    </cfRule>
    <cfRule type="cellIs" dxfId="5" priority="556" operator="equal">
      <formula>"500/510"</formula>
    </cfRule>
    <cfRule type="cellIs" dxfId="6" priority="557" operator="equal">
      <formula>"500/510/IVOC"</formula>
    </cfRule>
  </conditionalFormatting>
  <conditionalFormatting sqref="K54">
    <cfRule type="cellIs" dxfId="11" priority="547" operator="equal">
      <formula>"堵塞"</formula>
    </cfRule>
    <cfRule type="cellIs" dxfId="10" priority="548" operator="equal">
      <formula>"不通过"</formula>
    </cfRule>
    <cfRule type="cellIs" dxfId="7" priority="549" operator="equal">
      <formula>"通过"</formula>
    </cfRule>
  </conditionalFormatting>
  <conditionalFormatting sqref="B55">
    <cfRule type="cellIs" dxfId="13" priority="544" operator="equal">
      <formula>"3级"</formula>
    </cfRule>
    <cfRule type="cellIs" dxfId="3" priority="545" operator="equal">
      <formula>"2级"</formula>
    </cfRule>
    <cfRule type="cellIs" dxfId="12" priority="546" operator="equal">
      <formula>"1级"</formula>
    </cfRule>
  </conditionalFormatting>
  <conditionalFormatting sqref="D55">
    <cfRule type="cellIs" dxfId="0" priority="537" operator="equal">
      <formula>"废弃"</formula>
    </cfRule>
    <cfRule type="cellIs" dxfId="1" priority="538" operator="equal">
      <formula>"更新"</formula>
    </cfRule>
    <cfRule type="cellIs" dxfId="2" priority="539" operator="equal">
      <formula>"优化"</formula>
    </cfRule>
    <cfRule type="cellIs" dxfId="3" priority="540" operator="equal">
      <formula>"新增"</formula>
    </cfRule>
    <cfRule type="cellIs" dxfId="4" priority="541" operator="equal">
      <formula>"IVOC"</formula>
    </cfRule>
    <cfRule type="cellIs" dxfId="5" priority="542" operator="equal">
      <formula>"500/510"</formula>
    </cfRule>
    <cfRule type="cellIs" dxfId="6" priority="543" operator="equal">
      <formula>"500/510/IVOC"</formula>
    </cfRule>
  </conditionalFormatting>
  <conditionalFormatting sqref="D55:E55">
    <cfRule type="cellIs" dxfId="7" priority="530" operator="equal">
      <formula>"新增"</formula>
    </cfRule>
  </conditionalFormatting>
  <conditionalFormatting sqref="E55">
    <cfRule type="cellIs" dxfId="7" priority="529" operator="equal">
      <formula>"是"</formula>
    </cfRule>
    <cfRule type="cellIs" dxfId="3" priority="531" operator="equal">
      <formula>"是"</formula>
    </cfRule>
    <cfRule type="cellIs" dxfId="8" priority="532" operator="equal">
      <formula>"否"</formula>
    </cfRule>
    <cfRule type="cellIs" dxfId="9" priority="533" operator="equal">
      <formula>"是"</formula>
    </cfRule>
    <cfRule type="cellIs" dxfId="4" priority="534" operator="equal">
      <formula>"IVOC"</formula>
    </cfRule>
    <cfRule type="cellIs" dxfId="5" priority="535" operator="equal">
      <formula>"500/510"</formula>
    </cfRule>
    <cfRule type="cellIs" dxfId="6" priority="536" operator="equal">
      <formula>"500/510/IVOC"</formula>
    </cfRule>
  </conditionalFormatting>
  <conditionalFormatting sqref="K55">
    <cfRule type="cellIs" dxfId="11" priority="526" operator="equal">
      <formula>"堵塞"</formula>
    </cfRule>
    <cfRule type="cellIs" dxfId="10" priority="527" operator="equal">
      <formula>"不通过"</formula>
    </cfRule>
    <cfRule type="cellIs" dxfId="7" priority="528" operator="equal">
      <formula>"通过"</formula>
    </cfRule>
  </conditionalFormatting>
  <conditionalFormatting sqref="B56">
    <cfRule type="cellIs" dxfId="13" priority="523" operator="equal">
      <formula>"3级"</formula>
    </cfRule>
    <cfRule type="cellIs" dxfId="3" priority="524" operator="equal">
      <formula>"2级"</formula>
    </cfRule>
    <cfRule type="cellIs" dxfId="12" priority="525" operator="equal">
      <formula>"1级"</formula>
    </cfRule>
  </conditionalFormatting>
  <conditionalFormatting sqref="D56">
    <cfRule type="cellIs" dxfId="0" priority="516" operator="equal">
      <formula>"废弃"</formula>
    </cfRule>
    <cfRule type="cellIs" dxfId="1" priority="517" operator="equal">
      <formula>"更新"</formula>
    </cfRule>
    <cfRule type="cellIs" dxfId="2" priority="518" operator="equal">
      <formula>"优化"</formula>
    </cfRule>
    <cfRule type="cellIs" dxfId="3" priority="519" operator="equal">
      <formula>"新增"</formula>
    </cfRule>
    <cfRule type="cellIs" dxfId="4" priority="520" operator="equal">
      <formula>"IVOC"</formula>
    </cfRule>
    <cfRule type="cellIs" dxfId="5" priority="521" operator="equal">
      <formula>"500/510"</formula>
    </cfRule>
    <cfRule type="cellIs" dxfId="6" priority="522" operator="equal">
      <formula>"500/510/IVOC"</formula>
    </cfRule>
  </conditionalFormatting>
  <conditionalFormatting sqref="D56:E56">
    <cfRule type="cellIs" dxfId="7" priority="509" operator="equal">
      <formula>"新增"</formula>
    </cfRule>
  </conditionalFormatting>
  <conditionalFormatting sqref="E56">
    <cfRule type="cellIs" dxfId="7" priority="508" operator="equal">
      <formula>"是"</formula>
    </cfRule>
    <cfRule type="cellIs" dxfId="3" priority="510" operator="equal">
      <formula>"是"</formula>
    </cfRule>
    <cfRule type="cellIs" dxfId="8" priority="511" operator="equal">
      <formula>"否"</formula>
    </cfRule>
    <cfRule type="cellIs" dxfId="9" priority="512" operator="equal">
      <formula>"是"</formula>
    </cfRule>
    <cfRule type="cellIs" dxfId="4" priority="513" operator="equal">
      <formula>"IVOC"</formula>
    </cfRule>
    <cfRule type="cellIs" dxfId="5" priority="514" operator="equal">
      <formula>"500/510"</formula>
    </cfRule>
    <cfRule type="cellIs" dxfId="6" priority="515" operator="equal">
      <formula>"500/510/IVOC"</formula>
    </cfRule>
  </conditionalFormatting>
  <conditionalFormatting sqref="K56">
    <cfRule type="cellIs" dxfId="11" priority="505" operator="equal">
      <formula>"堵塞"</formula>
    </cfRule>
    <cfRule type="cellIs" dxfId="10" priority="506" operator="equal">
      <formula>"不通过"</formula>
    </cfRule>
    <cfRule type="cellIs" dxfId="7" priority="507" operator="equal">
      <formula>"通过"</formula>
    </cfRule>
  </conditionalFormatting>
  <conditionalFormatting sqref="B57">
    <cfRule type="cellIs" dxfId="13" priority="502" operator="equal">
      <formula>"3级"</formula>
    </cfRule>
    <cfRule type="cellIs" dxfId="3" priority="503" operator="equal">
      <formula>"2级"</formula>
    </cfRule>
    <cfRule type="cellIs" dxfId="12" priority="504" operator="equal">
      <formula>"1级"</formula>
    </cfRule>
  </conditionalFormatting>
  <conditionalFormatting sqref="D57">
    <cfRule type="cellIs" dxfId="0" priority="495" operator="equal">
      <formula>"废弃"</formula>
    </cfRule>
    <cfRule type="cellIs" dxfId="1" priority="496" operator="equal">
      <formula>"更新"</formula>
    </cfRule>
    <cfRule type="cellIs" dxfId="2" priority="497" operator="equal">
      <formula>"优化"</formula>
    </cfRule>
    <cfRule type="cellIs" dxfId="3" priority="498" operator="equal">
      <formula>"新增"</formula>
    </cfRule>
    <cfRule type="cellIs" dxfId="4" priority="499" operator="equal">
      <formula>"IVOC"</formula>
    </cfRule>
    <cfRule type="cellIs" dxfId="5" priority="500" operator="equal">
      <formula>"500/510"</formula>
    </cfRule>
    <cfRule type="cellIs" dxfId="6" priority="501" operator="equal">
      <formula>"500/510/IVOC"</formula>
    </cfRule>
  </conditionalFormatting>
  <conditionalFormatting sqref="D57:E57">
    <cfRule type="cellIs" dxfId="7" priority="488" operator="equal">
      <formula>"新增"</formula>
    </cfRule>
  </conditionalFormatting>
  <conditionalFormatting sqref="E57">
    <cfRule type="cellIs" dxfId="7" priority="487" operator="equal">
      <formula>"是"</formula>
    </cfRule>
    <cfRule type="cellIs" dxfId="3" priority="489" operator="equal">
      <formula>"是"</formula>
    </cfRule>
    <cfRule type="cellIs" dxfId="8" priority="490" operator="equal">
      <formula>"否"</formula>
    </cfRule>
    <cfRule type="cellIs" dxfId="9" priority="491" operator="equal">
      <formula>"是"</formula>
    </cfRule>
    <cfRule type="cellIs" dxfId="4" priority="492" operator="equal">
      <formula>"IVOC"</formula>
    </cfRule>
    <cfRule type="cellIs" dxfId="5" priority="493" operator="equal">
      <formula>"500/510"</formula>
    </cfRule>
    <cfRule type="cellIs" dxfId="6" priority="494" operator="equal">
      <formula>"500/510/IVOC"</formula>
    </cfRule>
  </conditionalFormatting>
  <conditionalFormatting sqref="K57">
    <cfRule type="cellIs" dxfId="11" priority="484" operator="equal">
      <formula>"堵塞"</formula>
    </cfRule>
    <cfRule type="cellIs" dxfId="10" priority="485" operator="equal">
      <formula>"不通过"</formula>
    </cfRule>
    <cfRule type="cellIs" dxfId="7" priority="486" operator="equal">
      <formula>"通过"</formula>
    </cfRule>
  </conditionalFormatting>
  <conditionalFormatting sqref="B58">
    <cfRule type="cellIs" dxfId="13" priority="481" operator="equal">
      <formula>"3级"</formula>
    </cfRule>
    <cfRule type="cellIs" dxfId="3" priority="482" operator="equal">
      <formula>"2级"</formula>
    </cfRule>
    <cfRule type="cellIs" dxfId="12" priority="483" operator="equal">
      <formula>"1级"</formula>
    </cfRule>
  </conditionalFormatting>
  <conditionalFormatting sqref="D58">
    <cfRule type="cellIs" dxfId="0" priority="474" operator="equal">
      <formula>"废弃"</formula>
    </cfRule>
    <cfRule type="cellIs" dxfId="1" priority="475" operator="equal">
      <formula>"更新"</formula>
    </cfRule>
    <cfRule type="cellIs" dxfId="2" priority="476" operator="equal">
      <formula>"优化"</formula>
    </cfRule>
    <cfRule type="cellIs" dxfId="3" priority="477" operator="equal">
      <formula>"新增"</formula>
    </cfRule>
    <cfRule type="cellIs" dxfId="4" priority="478" operator="equal">
      <formula>"IVOC"</formula>
    </cfRule>
    <cfRule type="cellIs" dxfId="5" priority="479" operator="equal">
      <formula>"500/510"</formula>
    </cfRule>
    <cfRule type="cellIs" dxfId="6" priority="480" operator="equal">
      <formula>"500/510/IVOC"</formula>
    </cfRule>
  </conditionalFormatting>
  <conditionalFormatting sqref="D58:E58">
    <cfRule type="cellIs" dxfId="7" priority="467" operator="equal">
      <formula>"新增"</formula>
    </cfRule>
  </conditionalFormatting>
  <conditionalFormatting sqref="E58">
    <cfRule type="cellIs" dxfId="7" priority="466" operator="equal">
      <formula>"是"</formula>
    </cfRule>
    <cfRule type="cellIs" dxfId="3" priority="468" operator="equal">
      <formula>"是"</formula>
    </cfRule>
    <cfRule type="cellIs" dxfId="8" priority="469" operator="equal">
      <formula>"否"</formula>
    </cfRule>
    <cfRule type="cellIs" dxfId="9" priority="470" operator="equal">
      <formula>"是"</formula>
    </cfRule>
    <cfRule type="cellIs" dxfId="4" priority="471" operator="equal">
      <formula>"IVOC"</formula>
    </cfRule>
    <cfRule type="cellIs" dxfId="5" priority="472" operator="equal">
      <formula>"500/510"</formula>
    </cfRule>
    <cfRule type="cellIs" dxfId="6" priority="473" operator="equal">
      <formula>"500/510/IVOC"</formula>
    </cfRule>
  </conditionalFormatting>
  <conditionalFormatting sqref="K58">
    <cfRule type="cellIs" dxfId="11" priority="463" operator="equal">
      <formula>"堵塞"</formula>
    </cfRule>
    <cfRule type="cellIs" dxfId="10" priority="464" operator="equal">
      <formula>"不通过"</formula>
    </cfRule>
    <cfRule type="cellIs" dxfId="7" priority="465" operator="equal">
      <formula>"通过"</formula>
    </cfRule>
  </conditionalFormatting>
  <conditionalFormatting sqref="B59">
    <cfRule type="cellIs" dxfId="13" priority="460" operator="equal">
      <formula>"3级"</formula>
    </cfRule>
    <cfRule type="cellIs" dxfId="3" priority="461" operator="equal">
      <formula>"2级"</formula>
    </cfRule>
    <cfRule type="cellIs" dxfId="12" priority="462" operator="equal">
      <formula>"1级"</formula>
    </cfRule>
  </conditionalFormatting>
  <conditionalFormatting sqref="D59">
    <cfRule type="cellIs" dxfId="0" priority="453" operator="equal">
      <formula>"废弃"</formula>
    </cfRule>
    <cfRule type="cellIs" dxfId="1" priority="454" operator="equal">
      <formula>"更新"</formula>
    </cfRule>
    <cfRule type="cellIs" dxfId="2" priority="455" operator="equal">
      <formula>"优化"</formula>
    </cfRule>
    <cfRule type="cellIs" dxfId="3" priority="456" operator="equal">
      <formula>"新增"</formula>
    </cfRule>
    <cfRule type="cellIs" dxfId="4" priority="457" operator="equal">
      <formula>"IVOC"</formula>
    </cfRule>
    <cfRule type="cellIs" dxfId="5" priority="458" operator="equal">
      <formula>"500/510"</formula>
    </cfRule>
    <cfRule type="cellIs" dxfId="6" priority="459" operator="equal">
      <formula>"500/510/IVOC"</formula>
    </cfRule>
  </conditionalFormatting>
  <conditionalFormatting sqref="D59:E59">
    <cfRule type="cellIs" dxfId="7" priority="446" operator="equal">
      <formula>"新增"</formula>
    </cfRule>
  </conditionalFormatting>
  <conditionalFormatting sqref="E59">
    <cfRule type="cellIs" dxfId="7" priority="445" operator="equal">
      <formula>"是"</formula>
    </cfRule>
    <cfRule type="cellIs" dxfId="3" priority="447" operator="equal">
      <formula>"是"</formula>
    </cfRule>
    <cfRule type="cellIs" dxfId="8" priority="448" operator="equal">
      <formula>"否"</formula>
    </cfRule>
    <cfRule type="cellIs" dxfId="9" priority="449" operator="equal">
      <formula>"是"</formula>
    </cfRule>
    <cfRule type="cellIs" dxfId="4" priority="450" operator="equal">
      <formula>"IVOC"</formula>
    </cfRule>
    <cfRule type="cellIs" dxfId="5" priority="451" operator="equal">
      <formula>"500/510"</formula>
    </cfRule>
    <cfRule type="cellIs" dxfId="6" priority="452" operator="equal">
      <formula>"500/510/IVOC"</formula>
    </cfRule>
  </conditionalFormatting>
  <conditionalFormatting sqref="K59">
    <cfRule type="cellIs" dxfId="11" priority="442" operator="equal">
      <formula>"堵塞"</formula>
    </cfRule>
    <cfRule type="cellIs" dxfId="10" priority="443" operator="equal">
      <formula>"不通过"</formula>
    </cfRule>
    <cfRule type="cellIs" dxfId="7" priority="444" operator="equal">
      <formula>"通过"</formula>
    </cfRule>
  </conditionalFormatting>
  <conditionalFormatting sqref="B60">
    <cfRule type="cellIs" dxfId="13" priority="439" operator="equal">
      <formula>"3级"</formula>
    </cfRule>
    <cfRule type="cellIs" dxfId="3" priority="440" operator="equal">
      <formula>"2级"</formula>
    </cfRule>
    <cfRule type="cellIs" dxfId="12" priority="441" operator="equal">
      <formula>"1级"</formula>
    </cfRule>
  </conditionalFormatting>
  <conditionalFormatting sqref="D60">
    <cfRule type="cellIs" dxfId="0" priority="432" operator="equal">
      <formula>"废弃"</formula>
    </cfRule>
    <cfRule type="cellIs" dxfId="1" priority="433" operator="equal">
      <formula>"更新"</formula>
    </cfRule>
    <cfRule type="cellIs" dxfId="2" priority="434" operator="equal">
      <formula>"优化"</formula>
    </cfRule>
    <cfRule type="cellIs" dxfId="3" priority="435" operator="equal">
      <formula>"新增"</formula>
    </cfRule>
    <cfRule type="cellIs" dxfId="4" priority="436" operator="equal">
      <formula>"IVOC"</formula>
    </cfRule>
    <cfRule type="cellIs" dxfId="5" priority="437" operator="equal">
      <formula>"500/510"</formula>
    </cfRule>
    <cfRule type="cellIs" dxfId="6" priority="438" operator="equal">
      <formula>"500/510/IVOC"</formula>
    </cfRule>
  </conditionalFormatting>
  <conditionalFormatting sqref="D60:E60">
    <cfRule type="cellIs" dxfId="7" priority="425" operator="equal">
      <formula>"新增"</formula>
    </cfRule>
  </conditionalFormatting>
  <conditionalFormatting sqref="E60">
    <cfRule type="cellIs" dxfId="7" priority="424" operator="equal">
      <formula>"是"</formula>
    </cfRule>
    <cfRule type="cellIs" dxfId="3" priority="426" operator="equal">
      <formula>"是"</formula>
    </cfRule>
    <cfRule type="cellIs" dxfId="8" priority="427" operator="equal">
      <formula>"否"</formula>
    </cfRule>
    <cfRule type="cellIs" dxfId="9" priority="428" operator="equal">
      <formula>"是"</formula>
    </cfRule>
    <cfRule type="cellIs" dxfId="4" priority="429" operator="equal">
      <formula>"IVOC"</formula>
    </cfRule>
    <cfRule type="cellIs" dxfId="5" priority="430" operator="equal">
      <formula>"500/510"</formula>
    </cfRule>
    <cfRule type="cellIs" dxfId="6" priority="431" operator="equal">
      <formula>"500/510/IVOC"</formula>
    </cfRule>
  </conditionalFormatting>
  <conditionalFormatting sqref="K60">
    <cfRule type="cellIs" dxfId="11" priority="421" operator="equal">
      <formula>"堵塞"</formula>
    </cfRule>
    <cfRule type="cellIs" dxfId="10" priority="422" operator="equal">
      <formula>"不通过"</formula>
    </cfRule>
    <cfRule type="cellIs" dxfId="7" priority="423" operator="equal">
      <formula>"通过"</formula>
    </cfRule>
  </conditionalFormatting>
  <conditionalFormatting sqref="B61">
    <cfRule type="cellIs" dxfId="13" priority="418" operator="equal">
      <formula>"3级"</formula>
    </cfRule>
    <cfRule type="cellIs" dxfId="3" priority="419" operator="equal">
      <formula>"2级"</formula>
    </cfRule>
    <cfRule type="cellIs" dxfId="12" priority="420" operator="equal">
      <formula>"1级"</formula>
    </cfRule>
  </conditionalFormatting>
  <conditionalFormatting sqref="D61">
    <cfRule type="cellIs" dxfId="0" priority="411" operator="equal">
      <formula>"废弃"</formula>
    </cfRule>
    <cfRule type="cellIs" dxfId="1" priority="412" operator="equal">
      <formula>"更新"</formula>
    </cfRule>
    <cfRule type="cellIs" dxfId="2" priority="413" operator="equal">
      <formula>"优化"</formula>
    </cfRule>
    <cfRule type="cellIs" dxfId="3" priority="414" operator="equal">
      <formula>"新增"</formula>
    </cfRule>
    <cfRule type="cellIs" dxfId="4" priority="415" operator="equal">
      <formula>"IVOC"</formula>
    </cfRule>
    <cfRule type="cellIs" dxfId="5" priority="416" operator="equal">
      <formula>"500/510"</formula>
    </cfRule>
    <cfRule type="cellIs" dxfId="6" priority="417" operator="equal">
      <formula>"500/510/IVOC"</formula>
    </cfRule>
  </conditionalFormatting>
  <conditionalFormatting sqref="D61:E61">
    <cfRule type="cellIs" dxfId="7" priority="404" operator="equal">
      <formula>"新增"</formula>
    </cfRule>
  </conditionalFormatting>
  <conditionalFormatting sqref="E61">
    <cfRule type="cellIs" dxfId="7" priority="403" operator="equal">
      <formula>"是"</formula>
    </cfRule>
    <cfRule type="cellIs" dxfId="3" priority="405" operator="equal">
      <formula>"是"</formula>
    </cfRule>
    <cfRule type="cellIs" dxfId="8" priority="406" operator="equal">
      <formula>"否"</formula>
    </cfRule>
    <cfRule type="cellIs" dxfId="9" priority="407" operator="equal">
      <formula>"是"</formula>
    </cfRule>
    <cfRule type="cellIs" dxfId="4" priority="408" operator="equal">
      <formula>"IVOC"</formula>
    </cfRule>
    <cfRule type="cellIs" dxfId="5" priority="409" operator="equal">
      <formula>"500/510"</formula>
    </cfRule>
    <cfRule type="cellIs" dxfId="6" priority="410" operator="equal">
      <formula>"500/510/IVOC"</formula>
    </cfRule>
  </conditionalFormatting>
  <conditionalFormatting sqref="K61">
    <cfRule type="cellIs" dxfId="11" priority="400" operator="equal">
      <formula>"堵塞"</formula>
    </cfRule>
    <cfRule type="cellIs" dxfId="10" priority="401" operator="equal">
      <formula>"不通过"</formula>
    </cfRule>
    <cfRule type="cellIs" dxfId="7" priority="402" operator="equal">
      <formula>"通过"</formula>
    </cfRule>
  </conditionalFormatting>
  <conditionalFormatting sqref="B62">
    <cfRule type="cellIs" dxfId="13" priority="397" operator="equal">
      <formula>"3级"</formula>
    </cfRule>
    <cfRule type="cellIs" dxfId="3" priority="398" operator="equal">
      <formula>"2级"</formula>
    </cfRule>
    <cfRule type="cellIs" dxfId="12" priority="399" operator="equal">
      <formula>"1级"</formula>
    </cfRule>
  </conditionalFormatting>
  <conditionalFormatting sqref="D62">
    <cfRule type="cellIs" dxfId="0" priority="390" operator="equal">
      <formula>"废弃"</formula>
    </cfRule>
    <cfRule type="cellIs" dxfId="1" priority="391" operator="equal">
      <formula>"更新"</formula>
    </cfRule>
    <cfRule type="cellIs" dxfId="2" priority="392" operator="equal">
      <formula>"优化"</formula>
    </cfRule>
    <cfRule type="cellIs" dxfId="3" priority="393" operator="equal">
      <formula>"新增"</formula>
    </cfRule>
    <cfRule type="cellIs" dxfId="4" priority="394" operator="equal">
      <formula>"IVOC"</formula>
    </cfRule>
    <cfRule type="cellIs" dxfId="5" priority="395" operator="equal">
      <formula>"500/510"</formula>
    </cfRule>
    <cfRule type="cellIs" dxfId="6" priority="396" operator="equal">
      <formula>"500/510/IVOC"</formula>
    </cfRule>
  </conditionalFormatting>
  <conditionalFormatting sqref="D62:E62">
    <cfRule type="cellIs" dxfId="7" priority="383" operator="equal">
      <formula>"新增"</formula>
    </cfRule>
  </conditionalFormatting>
  <conditionalFormatting sqref="E62">
    <cfRule type="cellIs" dxfId="7" priority="382" operator="equal">
      <formula>"是"</formula>
    </cfRule>
    <cfRule type="cellIs" dxfId="3" priority="384" operator="equal">
      <formula>"是"</formula>
    </cfRule>
    <cfRule type="cellIs" dxfId="8" priority="385" operator="equal">
      <formula>"否"</formula>
    </cfRule>
    <cfRule type="cellIs" dxfId="9" priority="386" operator="equal">
      <formula>"是"</formula>
    </cfRule>
    <cfRule type="cellIs" dxfId="4" priority="387" operator="equal">
      <formula>"IVOC"</formula>
    </cfRule>
    <cfRule type="cellIs" dxfId="5" priority="388" operator="equal">
      <formula>"500/510"</formula>
    </cfRule>
    <cfRule type="cellIs" dxfId="6" priority="389" operator="equal">
      <formula>"500/510/IVOC"</formula>
    </cfRule>
  </conditionalFormatting>
  <conditionalFormatting sqref="K62">
    <cfRule type="cellIs" dxfId="11" priority="379" operator="equal">
      <formula>"堵塞"</formula>
    </cfRule>
    <cfRule type="cellIs" dxfId="10" priority="380" operator="equal">
      <formula>"不通过"</formula>
    </cfRule>
    <cfRule type="cellIs" dxfId="7" priority="381" operator="equal">
      <formula>"通过"</formula>
    </cfRule>
  </conditionalFormatting>
  <conditionalFormatting sqref="B63">
    <cfRule type="cellIs" dxfId="13" priority="376" operator="equal">
      <formula>"3级"</formula>
    </cfRule>
    <cfRule type="cellIs" dxfId="3" priority="377" operator="equal">
      <formula>"2级"</formula>
    </cfRule>
    <cfRule type="cellIs" dxfId="12" priority="378" operator="equal">
      <formula>"1级"</formula>
    </cfRule>
  </conditionalFormatting>
  <conditionalFormatting sqref="D63">
    <cfRule type="cellIs" dxfId="0" priority="369" operator="equal">
      <formula>"废弃"</formula>
    </cfRule>
    <cfRule type="cellIs" dxfId="1" priority="370" operator="equal">
      <formula>"更新"</formula>
    </cfRule>
    <cfRule type="cellIs" dxfId="2" priority="371" operator="equal">
      <formula>"优化"</formula>
    </cfRule>
    <cfRule type="cellIs" dxfId="3" priority="372" operator="equal">
      <formula>"新增"</formula>
    </cfRule>
    <cfRule type="cellIs" dxfId="4" priority="373" operator="equal">
      <formula>"IVOC"</formula>
    </cfRule>
    <cfRule type="cellIs" dxfId="5" priority="374" operator="equal">
      <formula>"500/510"</formula>
    </cfRule>
    <cfRule type="cellIs" dxfId="6" priority="375" operator="equal">
      <formula>"500/510/IVOC"</formula>
    </cfRule>
  </conditionalFormatting>
  <conditionalFormatting sqref="D63:E63">
    <cfRule type="cellIs" dxfId="7" priority="362" operator="equal">
      <formula>"新增"</formula>
    </cfRule>
  </conditionalFormatting>
  <conditionalFormatting sqref="E63">
    <cfRule type="cellIs" dxfId="7" priority="361" operator="equal">
      <formula>"是"</formula>
    </cfRule>
    <cfRule type="cellIs" dxfId="3" priority="363" operator="equal">
      <formula>"是"</formula>
    </cfRule>
    <cfRule type="cellIs" dxfId="8" priority="364" operator="equal">
      <formula>"否"</formula>
    </cfRule>
    <cfRule type="cellIs" dxfId="9" priority="365" operator="equal">
      <formula>"是"</formula>
    </cfRule>
    <cfRule type="cellIs" dxfId="4" priority="366" operator="equal">
      <formula>"IVOC"</formula>
    </cfRule>
    <cfRule type="cellIs" dxfId="5" priority="367" operator="equal">
      <formula>"500/510"</formula>
    </cfRule>
    <cfRule type="cellIs" dxfId="6" priority="368" operator="equal">
      <formula>"500/510/IVOC"</formula>
    </cfRule>
  </conditionalFormatting>
  <conditionalFormatting sqref="K63">
    <cfRule type="cellIs" dxfId="11" priority="358" operator="equal">
      <formula>"堵塞"</formula>
    </cfRule>
    <cfRule type="cellIs" dxfId="10" priority="359" operator="equal">
      <formula>"不通过"</formula>
    </cfRule>
    <cfRule type="cellIs" dxfId="7" priority="360" operator="equal">
      <formula>"通过"</formula>
    </cfRule>
  </conditionalFormatting>
  <conditionalFormatting sqref="B64">
    <cfRule type="cellIs" dxfId="13" priority="355" operator="equal">
      <formula>"3级"</formula>
    </cfRule>
    <cfRule type="cellIs" dxfId="3" priority="356" operator="equal">
      <formula>"2级"</formula>
    </cfRule>
    <cfRule type="cellIs" dxfId="12" priority="357" operator="equal">
      <formula>"1级"</formula>
    </cfRule>
  </conditionalFormatting>
  <conditionalFormatting sqref="D64">
    <cfRule type="cellIs" dxfId="0" priority="348" operator="equal">
      <formula>"废弃"</formula>
    </cfRule>
    <cfRule type="cellIs" dxfId="1" priority="349" operator="equal">
      <formula>"更新"</formula>
    </cfRule>
    <cfRule type="cellIs" dxfId="2" priority="350" operator="equal">
      <formula>"优化"</formula>
    </cfRule>
    <cfRule type="cellIs" dxfId="3" priority="351" operator="equal">
      <formula>"新增"</formula>
    </cfRule>
    <cfRule type="cellIs" dxfId="4" priority="352" operator="equal">
      <formula>"IVOC"</formula>
    </cfRule>
    <cfRule type="cellIs" dxfId="5" priority="353" operator="equal">
      <formula>"500/510"</formula>
    </cfRule>
    <cfRule type="cellIs" dxfId="6" priority="354" operator="equal">
      <formula>"500/510/IVOC"</formula>
    </cfRule>
  </conditionalFormatting>
  <conditionalFormatting sqref="D64:E64">
    <cfRule type="cellIs" dxfId="7" priority="341" operator="equal">
      <formula>"新增"</formula>
    </cfRule>
  </conditionalFormatting>
  <conditionalFormatting sqref="E64">
    <cfRule type="cellIs" dxfId="7" priority="340" operator="equal">
      <formula>"是"</formula>
    </cfRule>
    <cfRule type="cellIs" dxfId="3" priority="342" operator="equal">
      <formula>"是"</formula>
    </cfRule>
    <cfRule type="cellIs" dxfId="8" priority="343" operator="equal">
      <formula>"否"</formula>
    </cfRule>
    <cfRule type="cellIs" dxfId="9" priority="344" operator="equal">
      <formula>"是"</formula>
    </cfRule>
    <cfRule type="cellIs" dxfId="4" priority="345" operator="equal">
      <formula>"IVOC"</formula>
    </cfRule>
    <cfRule type="cellIs" dxfId="5" priority="346" operator="equal">
      <formula>"500/510"</formula>
    </cfRule>
    <cfRule type="cellIs" dxfId="6" priority="347" operator="equal">
      <formula>"500/510/IVOC"</formula>
    </cfRule>
  </conditionalFormatting>
  <conditionalFormatting sqref="K64">
    <cfRule type="cellIs" dxfId="11" priority="337" operator="equal">
      <formula>"堵塞"</formula>
    </cfRule>
    <cfRule type="cellIs" dxfId="10" priority="338" operator="equal">
      <formula>"不通过"</formula>
    </cfRule>
    <cfRule type="cellIs" dxfId="7" priority="339" operator="equal">
      <formula>"通过"</formula>
    </cfRule>
  </conditionalFormatting>
  <conditionalFormatting sqref="B65">
    <cfRule type="cellIs" dxfId="13" priority="334" operator="equal">
      <formula>"3级"</formula>
    </cfRule>
    <cfRule type="cellIs" dxfId="3" priority="335" operator="equal">
      <formula>"2级"</formula>
    </cfRule>
    <cfRule type="cellIs" dxfId="12" priority="336" operator="equal">
      <formula>"1级"</formula>
    </cfRule>
  </conditionalFormatting>
  <conditionalFormatting sqref="D65">
    <cfRule type="cellIs" dxfId="0" priority="327" operator="equal">
      <formula>"废弃"</formula>
    </cfRule>
    <cfRule type="cellIs" dxfId="1" priority="328" operator="equal">
      <formula>"更新"</formula>
    </cfRule>
    <cfRule type="cellIs" dxfId="2" priority="329" operator="equal">
      <formula>"优化"</formula>
    </cfRule>
    <cfRule type="cellIs" dxfId="3" priority="330" operator="equal">
      <formula>"新增"</formula>
    </cfRule>
    <cfRule type="cellIs" dxfId="4" priority="331" operator="equal">
      <formula>"IVOC"</formula>
    </cfRule>
    <cfRule type="cellIs" dxfId="5" priority="332" operator="equal">
      <formula>"500/510"</formula>
    </cfRule>
    <cfRule type="cellIs" dxfId="6" priority="333" operator="equal">
      <formula>"500/510/IVOC"</formula>
    </cfRule>
  </conditionalFormatting>
  <conditionalFormatting sqref="D65:E65">
    <cfRule type="cellIs" dxfId="7" priority="320" operator="equal">
      <formula>"新增"</formula>
    </cfRule>
  </conditionalFormatting>
  <conditionalFormatting sqref="E65">
    <cfRule type="cellIs" dxfId="7" priority="319" operator="equal">
      <formula>"是"</formula>
    </cfRule>
    <cfRule type="cellIs" dxfId="3" priority="321" operator="equal">
      <formula>"是"</formula>
    </cfRule>
    <cfRule type="cellIs" dxfId="8" priority="322" operator="equal">
      <formula>"否"</formula>
    </cfRule>
    <cfRule type="cellIs" dxfId="9" priority="323" operator="equal">
      <formula>"是"</formula>
    </cfRule>
    <cfRule type="cellIs" dxfId="4" priority="324" operator="equal">
      <formula>"IVOC"</formula>
    </cfRule>
    <cfRule type="cellIs" dxfId="5" priority="325" operator="equal">
      <formula>"500/510"</formula>
    </cfRule>
    <cfRule type="cellIs" dxfId="6" priority="326" operator="equal">
      <formula>"500/510/IVOC"</formula>
    </cfRule>
  </conditionalFormatting>
  <conditionalFormatting sqref="K65">
    <cfRule type="cellIs" dxfId="11" priority="316" operator="equal">
      <formula>"堵塞"</formula>
    </cfRule>
    <cfRule type="cellIs" dxfId="10" priority="317" operator="equal">
      <formula>"不通过"</formula>
    </cfRule>
    <cfRule type="cellIs" dxfId="7" priority="318" operator="equal">
      <formula>"通过"</formula>
    </cfRule>
  </conditionalFormatting>
  <conditionalFormatting sqref="B66">
    <cfRule type="cellIs" dxfId="13" priority="313" operator="equal">
      <formula>"3级"</formula>
    </cfRule>
    <cfRule type="cellIs" dxfId="3" priority="314" operator="equal">
      <formula>"2级"</formula>
    </cfRule>
    <cfRule type="cellIs" dxfId="12" priority="315" operator="equal">
      <formula>"1级"</formula>
    </cfRule>
  </conditionalFormatting>
  <conditionalFormatting sqref="D66">
    <cfRule type="cellIs" dxfId="0" priority="306" operator="equal">
      <formula>"废弃"</formula>
    </cfRule>
    <cfRule type="cellIs" dxfId="1" priority="307" operator="equal">
      <formula>"更新"</formula>
    </cfRule>
    <cfRule type="cellIs" dxfId="2" priority="308" operator="equal">
      <formula>"优化"</formula>
    </cfRule>
    <cfRule type="cellIs" dxfId="3" priority="309" operator="equal">
      <formula>"新增"</formula>
    </cfRule>
    <cfRule type="cellIs" dxfId="4" priority="310" operator="equal">
      <formula>"IVOC"</formula>
    </cfRule>
    <cfRule type="cellIs" dxfId="5" priority="311" operator="equal">
      <formula>"500/510"</formula>
    </cfRule>
    <cfRule type="cellIs" dxfId="6" priority="312" operator="equal">
      <formula>"500/510/IVOC"</formula>
    </cfRule>
  </conditionalFormatting>
  <conditionalFormatting sqref="D66:E66">
    <cfRule type="cellIs" dxfId="7" priority="299" operator="equal">
      <formula>"新增"</formula>
    </cfRule>
  </conditionalFormatting>
  <conditionalFormatting sqref="E66">
    <cfRule type="cellIs" dxfId="7" priority="298" operator="equal">
      <formula>"是"</formula>
    </cfRule>
    <cfRule type="cellIs" dxfId="3" priority="300" operator="equal">
      <formula>"是"</formula>
    </cfRule>
    <cfRule type="cellIs" dxfId="8" priority="301" operator="equal">
      <formula>"否"</formula>
    </cfRule>
    <cfRule type="cellIs" dxfId="9" priority="302" operator="equal">
      <formula>"是"</formula>
    </cfRule>
    <cfRule type="cellIs" dxfId="4" priority="303" operator="equal">
      <formula>"IVOC"</formula>
    </cfRule>
    <cfRule type="cellIs" dxfId="5" priority="304" operator="equal">
      <formula>"500/510"</formula>
    </cfRule>
    <cfRule type="cellIs" dxfId="6" priority="305" operator="equal">
      <formula>"500/510/IVOC"</formula>
    </cfRule>
  </conditionalFormatting>
  <conditionalFormatting sqref="K66">
    <cfRule type="cellIs" dxfId="11" priority="295" operator="equal">
      <formula>"堵塞"</formula>
    </cfRule>
    <cfRule type="cellIs" dxfId="10" priority="296" operator="equal">
      <formula>"不通过"</formula>
    </cfRule>
    <cfRule type="cellIs" dxfId="7" priority="297" operator="equal">
      <formula>"通过"</formula>
    </cfRule>
  </conditionalFormatting>
  <conditionalFormatting sqref="B67">
    <cfRule type="cellIs" dxfId="13" priority="292" operator="equal">
      <formula>"3级"</formula>
    </cfRule>
    <cfRule type="cellIs" dxfId="3" priority="293" operator="equal">
      <formula>"2级"</formula>
    </cfRule>
    <cfRule type="cellIs" dxfId="12" priority="294" operator="equal">
      <formula>"1级"</formula>
    </cfRule>
  </conditionalFormatting>
  <conditionalFormatting sqref="D67">
    <cfRule type="cellIs" dxfId="0" priority="285" operator="equal">
      <formula>"废弃"</formula>
    </cfRule>
    <cfRule type="cellIs" dxfId="1" priority="286" operator="equal">
      <formula>"更新"</formula>
    </cfRule>
    <cfRule type="cellIs" dxfId="2" priority="287" operator="equal">
      <formula>"优化"</formula>
    </cfRule>
    <cfRule type="cellIs" dxfId="3" priority="288" operator="equal">
      <formula>"新增"</formula>
    </cfRule>
    <cfRule type="cellIs" dxfId="4" priority="289" operator="equal">
      <formula>"IVOC"</formula>
    </cfRule>
    <cfRule type="cellIs" dxfId="5" priority="290" operator="equal">
      <formula>"500/510"</formula>
    </cfRule>
    <cfRule type="cellIs" dxfId="6" priority="291" operator="equal">
      <formula>"500/510/IVOC"</formula>
    </cfRule>
  </conditionalFormatting>
  <conditionalFormatting sqref="D67:E67">
    <cfRule type="cellIs" dxfId="7" priority="278" operator="equal">
      <formula>"新增"</formula>
    </cfRule>
  </conditionalFormatting>
  <conditionalFormatting sqref="E67">
    <cfRule type="cellIs" dxfId="7" priority="277" operator="equal">
      <formula>"是"</formula>
    </cfRule>
    <cfRule type="cellIs" dxfId="3" priority="279" operator="equal">
      <formula>"是"</formula>
    </cfRule>
    <cfRule type="cellIs" dxfId="8" priority="280" operator="equal">
      <formula>"否"</formula>
    </cfRule>
    <cfRule type="cellIs" dxfId="9" priority="281" operator="equal">
      <formula>"是"</formula>
    </cfRule>
    <cfRule type="cellIs" dxfId="4" priority="282" operator="equal">
      <formula>"IVOC"</formula>
    </cfRule>
    <cfRule type="cellIs" dxfId="5" priority="283" operator="equal">
      <formula>"500/510"</formula>
    </cfRule>
    <cfRule type="cellIs" dxfId="6" priority="284" operator="equal">
      <formula>"500/510/IVOC"</formula>
    </cfRule>
  </conditionalFormatting>
  <conditionalFormatting sqref="K67">
    <cfRule type="cellIs" dxfId="11" priority="274" operator="equal">
      <formula>"堵塞"</formula>
    </cfRule>
    <cfRule type="cellIs" dxfId="10" priority="275" operator="equal">
      <formula>"不通过"</formula>
    </cfRule>
    <cfRule type="cellIs" dxfId="7" priority="276" operator="equal">
      <formula>"通过"</formula>
    </cfRule>
  </conditionalFormatting>
  <conditionalFormatting sqref="B68">
    <cfRule type="cellIs" dxfId="13" priority="271" operator="equal">
      <formula>"3级"</formula>
    </cfRule>
    <cfRule type="cellIs" dxfId="3" priority="272" operator="equal">
      <formula>"2级"</formula>
    </cfRule>
    <cfRule type="cellIs" dxfId="12" priority="273" operator="equal">
      <formula>"1级"</formula>
    </cfRule>
  </conditionalFormatting>
  <conditionalFormatting sqref="D68">
    <cfRule type="cellIs" dxfId="0" priority="264" operator="equal">
      <formula>"废弃"</formula>
    </cfRule>
    <cfRule type="cellIs" dxfId="1" priority="265" operator="equal">
      <formula>"更新"</formula>
    </cfRule>
    <cfRule type="cellIs" dxfId="2" priority="266" operator="equal">
      <formula>"优化"</formula>
    </cfRule>
    <cfRule type="cellIs" dxfId="3" priority="267" operator="equal">
      <formula>"新增"</formula>
    </cfRule>
    <cfRule type="cellIs" dxfId="4" priority="268" operator="equal">
      <formula>"IVOC"</formula>
    </cfRule>
    <cfRule type="cellIs" dxfId="5" priority="269" operator="equal">
      <formula>"500/510"</formula>
    </cfRule>
    <cfRule type="cellIs" dxfId="6" priority="270" operator="equal">
      <formula>"500/510/IVOC"</formula>
    </cfRule>
  </conditionalFormatting>
  <conditionalFormatting sqref="D68:E68">
    <cfRule type="cellIs" dxfId="7" priority="257" operator="equal">
      <formula>"新增"</formula>
    </cfRule>
  </conditionalFormatting>
  <conditionalFormatting sqref="E68">
    <cfRule type="cellIs" dxfId="7" priority="256" operator="equal">
      <formula>"是"</formula>
    </cfRule>
    <cfRule type="cellIs" dxfId="3" priority="258" operator="equal">
      <formula>"是"</formula>
    </cfRule>
    <cfRule type="cellIs" dxfId="8" priority="259" operator="equal">
      <formula>"否"</formula>
    </cfRule>
    <cfRule type="cellIs" dxfId="9" priority="260" operator="equal">
      <formula>"是"</formula>
    </cfRule>
    <cfRule type="cellIs" dxfId="4" priority="261" operator="equal">
      <formula>"IVOC"</formula>
    </cfRule>
    <cfRule type="cellIs" dxfId="5" priority="262" operator="equal">
      <formula>"500/510"</formula>
    </cfRule>
    <cfRule type="cellIs" dxfId="6" priority="263" operator="equal">
      <formula>"500/510/IVOC"</formula>
    </cfRule>
  </conditionalFormatting>
  <conditionalFormatting sqref="K68">
    <cfRule type="cellIs" dxfId="11" priority="253" operator="equal">
      <formula>"堵塞"</formula>
    </cfRule>
    <cfRule type="cellIs" dxfId="10" priority="254" operator="equal">
      <formula>"不通过"</formula>
    </cfRule>
    <cfRule type="cellIs" dxfId="7" priority="255" operator="equal">
      <formula>"通过"</formula>
    </cfRule>
  </conditionalFormatting>
  <conditionalFormatting sqref="B69">
    <cfRule type="cellIs" dxfId="13" priority="250" operator="equal">
      <formula>"3级"</formula>
    </cfRule>
    <cfRule type="cellIs" dxfId="3" priority="251" operator="equal">
      <formula>"2级"</formula>
    </cfRule>
    <cfRule type="cellIs" dxfId="12" priority="252" operator="equal">
      <formula>"1级"</formula>
    </cfRule>
  </conditionalFormatting>
  <conditionalFormatting sqref="D69">
    <cfRule type="cellIs" dxfId="0" priority="243" operator="equal">
      <formula>"废弃"</formula>
    </cfRule>
    <cfRule type="cellIs" dxfId="1" priority="244" operator="equal">
      <formula>"更新"</formula>
    </cfRule>
    <cfRule type="cellIs" dxfId="2" priority="245" operator="equal">
      <formula>"优化"</formula>
    </cfRule>
    <cfRule type="cellIs" dxfId="3" priority="246" operator="equal">
      <formula>"新增"</formula>
    </cfRule>
    <cfRule type="cellIs" dxfId="4" priority="247" operator="equal">
      <formula>"IVOC"</formula>
    </cfRule>
    <cfRule type="cellIs" dxfId="5" priority="248" operator="equal">
      <formula>"500/510"</formula>
    </cfRule>
    <cfRule type="cellIs" dxfId="6" priority="249" operator="equal">
      <formula>"500/510/IVOC"</formula>
    </cfRule>
  </conditionalFormatting>
  <conditionalFormatting sqref="D69:E69">
    <cfRule type="cellIs" dxfId="7" priority="236" operator="equal">
      <formula>"新增"</formula>
    </cfRule>
  </conditionalFormatting>
  <conditionalFormatting sqref="E69">
    <cfRule type="cellIs" dxfId="7" priority="235" operator="equal">
      <formula>"是"</formula>
    </cfRule>
    <cfRule type="cellIs" dxfId="3" priority="237" operator="equal">
      <formula>"是"</formula>
    </cfRule>
    <cfRule type="cellIs" dxfId="8" priority="238" operator="equal">
      <formula>"否"</formula>
    </cfRule>
    <cfRule type="cellIs" dxfId="9" priority="239" operator="equal">
      <formula>"是"</formula>
    </cfRule>
    <cfRule type="cellIs" dxfId="4" priority="240" operator="equal">
      <formula>"IVOC"</formula>
    </cfRule>
    <cfRule type="cellIs" dxfId="5" priority="241" operator="equal">
      <formula>"500/510"</formula>
    </cfRule>
    <cfRule type="cellIs" dxfId="6" priority="242" operator="equal">
      <formula>"500/510/IVOC"</formula>
    </cfRule>
  </conditionalFormatting>
  <conditionalFormatting sqref="K69">
    <cfRule type="cellIs" dxfId="11" priority="232" operator="equal">
      <formula>"堵塞"</formula>
    </cfRule>
    <cfRule type="cellIs" dxfId="10" priority="233" operator="equal">
      <formula>"不通过"</formula>
    </cfRule>
    <cfRule type="cellIs" dxfId="7" priority="234" operator="equal">
      <formula>"通过"</formula>
    </cfRule>
  </conditionalFormatting>
  <conditionalFormatting sqref="B70">
    <cfRule type="cellIs" dxfId="13" priority="229" operator="equal">
      <formula>"3级"</formula>
    </cfRule>
    <cfRule type="cellIs" dxfId="3" priority="230" operator="equal">
      <formula>"2级"</formula>
    </cfRule>
    <cfRule type="cellIs" dxfId="12" priority="231" operator="equal">
      <formula>"1级"</formula>
    </cfRule>
  </conditionalFormatting>
  <conditionalFormatting sqref="D70">
    <cfRule type="cellIs" dxfId="0" priority="222" operator="equal">
      <formula>"废弃"</formula>
    </cfRule>
    <cfRule type="cellIs" dxfId="1" priority="223" operator="equal">
      <formula>"更新"</formula>
    </cfRule>
    <cfRule type="cellIs" dxfId="2" priority="224" operator="equal">
      <formula>"优化"</formula>
    </cfRule>
    <cfRule type="cellIs" dxfId="3" priority="225" operator="equal">
      <formula>"新增"</formula>
    </cfRule>
    <cfRule type="cellIs" dxfId="4" priority="226" operator="equal">
      <formula>"IVOC"</formula>
    </cfRule>
    <cfRule type="cellIs" dxfId="5" priority="227" operator="equal">
      <formula>"500/510"</formula>
    </cfRule>
    <cfRule type="cellIs" dxfId="6" priority="228" operator="equal">
      <formula>"500/510/IVOC"</formula>
    </cfRule>
  </conditionalFormatting>
  <conditionalFormatting sqref="D70:E70">
    <cfRule type="cellIs" dxfId="7" priority="215" operator="equal">
      <formula>"新增"</formula>
    </cfRule>
  </conditionalFormatting>
  <conditionalFormatting sqref="E70">
    <cfRule type="cellIs" dxfId="7" priority="214" operator="equal">
      <formula>"是"</formula>
    </cfRule>
    <cfRule type="cellIs" dxfId="3" priority="216" operator="equal">
      <formula>"是"</formula>
    </cfRule>
    <cfRule type="cellIs" dxfId="8" priority="217" operator="equal">
      <formula>"否"</formula>
    </cfRule>
    <cfRule type="cellIs" dxfId="9" priority="218" operator="equal">
      <formula>"是"</formula>
    </cfRule>
    <cfRule type="cellIs" dxfId="4" priority="219" operator="equal">
      <formula>"IVOC"</formula>
    </cfRule>
    <cfRule type="cellIs" dxfId="5" priority="220" operator="equal">
      <formula>"500/510"</formula>
    </cfRule>
    <cfRule type="cellIs" dxfId="6" priority="221" operator="equal">
      <formula>"500/510/IVOC"</formula>
    </cfRule>
  </conditionalFormatting>
  <conditionalFormatting sqref="K70">
    <cfRule type="cellIs" dxfId="11" priority="211" operator="equal">
      <formula>"堵塞"</formula>
    </cfRule>
    <cfRule type="cellIs" dxfId="10" priority="212" operator="equal">
      <formula>"不通过"</formula>
    </cfRule>
    <cfRule type="cellIs" dxfId="7" priority="213" operator="equal">
      <formula>"通过"</formula>
    </cfRule>
  </conditionalFormatting>
  <conditionalFormatting sqref="B71">
    <cfRule type="cellIs" dxfId="13" priority="208" operator="equal">
      <formula>"3级"</formula>
    </cfRule>
    <cfRule type="cellIs" dxfId="3" priority="209" operator="equal">
      <formula>"2级"</formula>
    </cfRule>
    <cfRule type="cellIs" dxfId="12" priority="210" operator="equal">
      <formula>"1级"</formula>
    </cfRule>
  </conditionalFormatting>
  <conditionalFormatting sqref="D71">
    <cfRule type="cellIs" dxfId="0" priority="201" operator="equal">
      <formula>"废弃"</formula>
    </cfRule>
    <cfRule type="cellIs" dxfId="1" priority="202" operator="equal">
      <formula>"更新"</formula>
    </cfRule>
    <cfRule type="cellIs" dxfId="2" priority="203" operator="equal">
      <formula>"优化"</formula>
    </cfRule>
    <cfRule type="cellIs" dxfId="3" priority="204" operator="equal">
      <formula>"新增"</formula>
    </cfRule>
    <cfRule type="cellIs" dxfId="4" priority="205" operator="equal">
      <formula>"IVOC"</formula>
    </cfRule>
    <cfRule type="cellIs" dxfId="5" priority="206" operator="equal">
      <formula>"500/510"</formula>
    </cfRule>
    <cfRule type="cellIs" dxfId="6" priority="207" operator="equal">
      <formula>"500/510/IVOC"</formula>
    </cfRule>
  </conditionalFormatting>
  <conditionalFormatting sqref="D71:E71">
    <cfRule type="cellIs" dxfId="7" priority="194" operator="equal">
      <formula>"新增"</formula>
    </cfRule>
  </conditionalFormatting>
  <conditionalFormatting sqref="E71">
    <cfRule type="cellIs" dxfId="7" priority="193" operator="equal">
      <formula>"是"</formula>
    </cfRule>
    <cfRule type="cellIs" dxfId="3" priority="195" operator="equal">
      <formula>"是"</formula>
    </cfRule>
    <cfRule type="cellIs" dxfId="8" priority="196" operator="equal">
      <formula>"否"</formula>
    </cfRule>
    <cfRule type="cellIs" dxfId="9" priority="197" operator="equal">
      <formula>"是"</formula>
    </cfRule>
    <cfRule type="cellIs" dxfId="4" priority="198" operator="equal">
      <formula>"IVOC"</formula>
    </cfRule>
    <cfRule type="cellIs" dxfId="5" priority="199" operator="equal">
      <formula>"500/510"</formula>
    </cfRule>
    <cfRule type="cellIs" dxfId="6" priority="200" operator="equal">
      <formula>"500/510/IVOC"</formula>
    </cfRule>
  </conditionalFormatting>
  <conditionalFormatting sqref="K71">
    <cfRule type="cellIs" dxfId="11" priority="190" operator="equal">
      <formula>"堵塞"</formula>
    </cfRule>
    <cfRule type="cellIs" dxfId="10" priority="191" operator="equal">
      <formula>"不通过"</formula>
    </cfRule>
    <cfRule type="cellIs" dxfId="7" priority="192" operator="equal">
      <formula>"通过"</formula>
    </cfRule>
  </conditionalFormatting>
  <conditionalFormatting sqref="B72">
    <cfRule type="cellIs" dxfId="13" priority="187" operator="equal">
      <formula>"3级"</formula>
    </cfRule>
    <cfRule type="cellIs" dxfId="3" priority="188" operator="equal">
      <formula>"2级"</formula>
    </cfRule>
    <cfRule type="cellIs" dxfId="12" priority="189" operator="equal">
      <formula>"1级"</formula>
    </cfRule>
  </conditionalFormatting>
  <conditionalFormatting sqref="D72">
    <cfRule type="cellIs" dxfId="0" priority="180" operator="equal">
      <formula>"废弃"</formula>
    </cfRule>
    <cfRule type="cellIs" dxfId="1" priority="181" operator="equal">
      <formula>"更新"</formula>
    </cfRule>
    <cfRule type="cellIs" dxfId="2" priority="182" operator="equal">
      <formula>"优化"</formula>
    </cfRule>
    <cfRule type="cellIs" dxfId="3" priority="183" operator="equal">
      <formula>"新增"</formula>
    </cfRule>
    <cfRule type="cellIs" dxfId="4" priority="184" operator="equal">
      <formula>"IVOC"</formula>
    </cfRule>
    <cfRule type="cellIs" dxfId="5" priority="185" operator="equal">
      <formula>"500/510"</formula>
    </cfRule>
    <cfRule type="cellIs" dxfId="6" priority="186" operator="equal">
      <formula>"500/510/IVOC"</formula>
    </cfRule>
  </conditionalFormatting>
  <conditionalFormatting sqref="D72:E72">
    <cfRule type="cellIs" dxfId="7" priority="173" operator="equal">
      <formula>"新增"</formula>
    </cfRule>
  </conditionalFormatting>
  <conditionalFormatting sqref="E72">
    <cfRule type="cellIs" dxfId="7" priority="172" operator="equal">
      <formula>"是"</formula>
    </cfRule>
    <cfRule type="cellIs" dxfId="3" priority="174" operator="equal">
      <formula>"是"</formula>
    </cfRule>
    <cfRule type="cellIs" dxfId="8" priority="175" operator="equal">
      <formula>"否"</formula>
    </cfRule>
    <cfRule type="cellIs" dxfId="9" priority="176" operator="equal">
      <formula>"是"</formula>
    </cfRule>
    <cfRule type="cellIs" dxfId="4" priority="177" operator="equal">
      <formula>"IVOC"</formula>
    </cfRule>
    <cfRule type="cellIs" dxfId="5" priority="178" operator="equal">
      <formula>"500/510"</formula>
    </cfRule>
    <cfRule type="cellIs" dxfId="6" priority="179" operator="equal">
      <formula>"500/510/IVOC"</formula>
    </cfRule>
  </conditionalFormatting>
  <conditionalFormatting sqref="K72">
    <cfRule type="cellIs" dxfId="11" priority="169" operator="equal">
      <formula>"堵塞"</formula>
    </cfRule>
    <cfRule type="cellIs" dxfId="10" priority="170" operator="equal">
      <formula>"不通过"</formula>
    </cfRule>
    <cfRule type="cellIs" dxfId="7" priority="171" operator="equal">
      <formula>"通过"</formula>
    </cfRule>
  </conditionalFormatting>
  <conditionalFormatting sqref="B73">
    <cfRule type="cellIs" dxfId="13" priority="166" operator="equal">
      <formula>"3级"</formula>
    </cfRule>
    <cfRule type="cellIs" dxfId="3" priority="167" operator="equal">
      <formula>"2级"</formula>
    </cfRule>
    <cfRule type="cellIs" dxfId="12" priority="168" operator="equal">
      <formula>"1级"</formula>
    </cfRule>
  </conditionalFormatting>
  <conditionalFormatting sqref="D73">
    <cfRule type="cellIs" dxfId="0" priority="159" operator="equal">
      <formula>"废弃"</formula>
    </cfRule>
    <cfRule type="cellIs" dxfId="1" priority="160" operator="equal">
      <formula>"更新"</formula>
    </cfRule>
    <cfRule type="cellIs" dxfId="2" priority="161" operator="equal">
      <formula>"优化"</formula>
    </cfRule>
    <cfRule type="cellIs" dxfId="3" priority="162" operator="equal">
      <formula>"新增"</formula>
    </cfRule>
    <cfRule type="cellIs" dxfId="4" priority="163" operator="equal">
      <formula>"IVOC"</formula>
    </cfRule>
    <cfRule type="cellIs" dxfId="5" priority="164" operator="equal">
      <formula>"500/510"</formula>
    </cfRule>
    <cfRule type="cellIs" dxfId="6" priority="165" operator="equal">
      <formula>"500/510/IVOC"</formula>
    </cfRule>
  </conditionalFormatting>
  <conditionalFormatting sqref="D73:E73">
    <cfRule type="cellIs" dxfId="7" priority="152" operator="equal">
      <formula>"新增"</formula>
    </cfRule>
  </conditionalFormatting>
  <conditionalFormatting sqref="E73">
    <cfRule type="cellIs" dxfId="7" priority="151" operator="equal">
      <formula>"是"</formula>
    </cfRule>
    <cfRule type="cellIs" dxfId="3" priority="153" operator="equal">
      <formula>"是"</formula>
    </cfRule>
    <cfRule type="cellIs" dxfId="8" priority="154" operator="equal">
      <formula>"否"</formula>
    </cfRule>
    <cfRule type="cellIs" dxfId="9" priority="155" operator="equal">
      <formula>"是"</formula>
    </cfRule>
    <cfRule type="cellIs" dxfId="4" priority="156" operator="equal">
      <formula>"IVOC"</formula>
    </cfRule>
    <cfRule type="cellIs" dxfId="5" priority="157" operator="equal">
      <formula>"500/510"</formula>
    </cfRule>
    <cfRule type="cellIs" dxfId="6" priority="158" operator="equal">
      <formula>"500/510/IVOC"</formula>
    </cfRule>
  </conditionalFormatting>
  <conditionalFormatting sqref="K73">
    <cfRule type="cellIs" dxfId="11" priority="148" operator="equal">
      <formula>"堵塞"</formula>
    </cfRule>
    <cfRule type="cellIs" dxfId="10" priority="149" operator="equal">
      <formula>"不通过"</formula>
    </cfRule>
    <cfRule type="cellIs" dxfId="7" priority="150" operator="equal">
      <formula>"通过"</formula>
    </cfRule>
  </conditionalFormatting>
  <conditionalFormatting sqref="B74">
    <cfRule type="cellIs" dxfId="13" priority="145" operator="equal">
      <formula>"3级"</formula>
    </cfRule>
    <cfRule type="cellIs" dxfId="3" priority="146" operator="equal">
      <formula>"2级"</formula>
    </cfRule>
    <cfRule type="cellIs" dxfId="12" priority="147" operator="equal">
      <formula>"1级"</formula>
    </cfRule>
  </conditionalFormatting>
  <conditionalFormatting sqref="D74">
    <cfRule type="cellIs" dxfId="0" priority="138" operator="equal">
      <formula>"废弃"</formula>
    </cfRule>
    <cfRule type="cellIs" dxfId="1" priority="139" operator="equal">
      <formula>"更新"</formula>
    </cfRule>
    <cfRule type="cellIs" dxfId="2" priority="140" operator="equal">
      <formula>"优化"</formula>
    </cfRule>
    <cfRule type="cellIs" dxfId="3" priority="141" operator="equal">
      <formula>"新增"</formula>
    </cfRule>
    <cfRule type="cellIs" dxfId="4" priority="142" operator="equal">
      <formula>"IVOC"</formula>
    </cfRule>
    <cfRule type="cellIs" dxfId="5" priority="143" operator="equal">
      <formula>"500/510"</formula>
    </cfRule>
    <cfRule type="cellIs" dxfId="6" priority="144" operator="equal">
      <formula>"500/510/IVOC"</formula>
    </cfRule>
  </conditionalFormatting>
  <conditionalFormatting sqref="D74:E74">
    <cfRule type="cellIs" dxfId="7" priority="131" operator="equal">
      <formula>"新增"</formula>
    </cfRule>
  </conditionalFormatting>
  <conditionalFormatting sqref="E74">
    <cfRule type="cellIs" dxfId="7" priority="130" operator="equal">
      <formula>"是"</formula>
    </cfRule>
    <cfRule type="cellIs" dxfId="3" priority="132" operator="equal">
      <formula>"是"</formula>
    </cfRule>
    <cfRule type="cellIs" dxfId="8" priority="133" operator="equal">
      <formula>"否"</formula>
    </cfRule>
    <cfRule type="cellIs" dxfId="9" priority="134" operator="equal">
      <formula>"是"</formula>
    </cfRule>
    <cfRule type="cellIs" dxfId="4" priority="135" operator="equal">
      <formula>"IVOC"</formula>
    </cfRule>
    <cfRule type="cellIs" dxfId="5" priority="136" operator="equal">
      <formula>"500/510"</formula>
    </cfRule>
    <cfRule type="cellIs" dxfId="6" priority="137" operator="equal">
      <formula>"500/510/IVOC"</formula>
    </cfRule>
  </conditionalFormatting>
  <conditionalFormatting sqref="K74">
    <cfRule type="cellIs" dxfId="11" priority="127" operator="equal">
      <formula>"堵塞"</formula>
    </cfRule>
    <cfRule type="cellIs" dxfId="10" priority="128" operator="equal">
      <formula>"不通过"</formula>
    </cfRule>
    <cfRule type="cellIs" dxfId="7" priority="129" operator="equal">
      <formula>"通过"</formula>
    </cfRule>
  </conditionalFormatting>
  <conditionalFormatting sqref="B75">
    <cfRule type="cellIs" dxfId="13" priority="124" operator="equal">
      <formula>"3级"</formula>
    </cfRule>
    <cfRule type="cellIs" dxfId="3" priority="125" operator="equal">
      <formula>"2级"</formula>
    </cfRule>
    <cfRule type="cellIs" dxfId="12" priority="126" operator="equal">
      <formula>"1级"</formula>
    </cfRule>
  </conditionalFormatting>
  <conditionalFormatting sqref="D75">
    <cfRule type="cellIs" dxfId="0" priority="117" operator="equal">
      <formula>"废弃"</formula>
    </cfRule>
    <cfRule type="cellIs" dxfId="1" priority="118" operator="equal">
      <formula>"更新"</formula>
    </cfRule>
    <cfRule type="cellIs" dxfId="2" priority="119" operator="equal">
      <formula>"优化"</formula>
    </cfRule>
    <cfRule type="cellIs" dxfId="3" priority="120" operator="equal">
      <formula>"新增"</formula>
    </cfRule>
    <cfRule type="cellIs" dxfId="4" priority="121" operator="equal">
      <formula>"IVOC"</formula>
    </cfRule>
    <cfRule type="cellIs" dxfId="5" priority="122" operator="equal">
      <formula>"500/510"</formula>
    </cfRule>
    <cfRule type="cellIs" dxfId="6" priority="123" operator="equal">
      <formula>"500/510/IVOC"</formula>
    </cfRule>
  </conditionalFormatting>
  <conditionalFormatting sqref="D75:E75">
    <cfRule type="cellIs" dxfId="7" priority="110" operator="equal">
      <formula>"新增"</formula>
    </cfRule>
  </conditionalFormatting>
  <conditionalFormatting sqref="E75">
    <cfRule type="cellIs" dxfId="7" priority="109" operator="equal">
      <formula>"是"</formula>
    </cfRule>
    <cfRule type="cellIs" dxfId="3" priority="111" operator="equal">
      <formula>"是"</formula>
    </cfRule>
    <cfRule type="cellIs" dxfId="8" priority="112" operator="equal">
      <formula>"否"</formula>
    </cfRule>
    <cfRule type="cellIs" dxfId="9" priority="113" operator="equal">
      <formula>"是"</formula>
    </cfRule>
    <cfRule type="cellIs" dxfId="4" priority="114" operator="equal">
      <formula>"IVOC"</formula>
    </cfRule>
    <cfRule type="cellIs" dxfId="5" priority="115" operator="equal">
      <formula>"500/510"</formula>
    </cfRule>
    <cfRule type="cellIs" dxfId="6" priority="116" operator="equal">
      <formula>"500/510/IVOC"</formula>
    </cfRule>
  </conditionalFormatting>
  <conditionalFormatting sqref="K75">
    <cfRule type="cellIs" dxfId="11" priority="106" operator="equal">
      <formula>"堵塞"</formula>
    </cfRule>
    <cfRule type="cellIs" dxfId="10" priority="107" operator="equal">
      <formula>"不通过"</formula>
    </cfRule>
    <cfRule type="cellIs" dxfId="7" priority="108" operator="equal">
      <formula>"通过"</formula>
    </cfRule>
  </conditionalFormatting>
  <conditionalFormatting sqref="B76">
    <cfRule type="cellIs" dxfId="13" priority="103" operator="equal">
      <formula>"3级"</formula>
    </cfRule>
    <cfRule type="cellIs" dxfId="3" priority="104" operator="equal">
      <formula>"2级"</formula>
    </cfRule>
    <cfRule type="cellIs" dxfId="12" priority="105" operator="equal">
      <formula>"1级"</formula>
    </cfRule>
  </conditionalFormatting>
  <conditionalFormatting sqref="D76">
    <cfRule type="cellIs" dxfId="0" priority="96" operator="equal">
      <formula>"废弃"</formula>
    </cfRule>
    <cfRule type="cellIs" dxfId="1" priority="97" operator="equal">
      <formula>"更新"</formula>
    </cfRule>
    <cfRule type="cellIs" dxfId="2" priority="98" operator="equal">
      <formula>"优化"</formula>
    </cfRule>
    <cfRule type="cellIs" dxfId="3" priority="99" operator="equal">
      <formula>"新增"</formula>
    </cfRule>
    <cfRule type="cellIs" dxfId="4" priority="100" operator="equal">
      <formula>"IVOC"</formula>
    </cfRule>
    <cfRule type="cellIs" dxfId="5" priority="101" operator="equal">
      <formula>"500/510"</formula>
    </cfRule>
    <cfRule type="cellIs" dxfId="6" priority="102" operator="equal">
      <formula>"500/510/IVOC"</formula>
    </cfRule>
  </conditionalFormatting>
  <conditionalFormatting sqref="D76:E76">
    <cfRule type="cellIs" dxfId="7" priority="89" operator="equal">
      <formula>"新增"</formula>
    </cfRule>
  </conditionalFormatting>
  <conditionalFormatting sqref="E76">
    <cfRule type="cellIs" dxfId="7" priority="88" operator="equal">
      <formula>"是"</formula>
    </cfRule>
    <cfRule type="cellIs" dxfId="3" priority="90" operator="equal">
      <formula>"是"</formula>
    </cfRule>
    <cfRule type="cellIs" dxfId="8" priority="91" operator="equal">
      <formula>"否"</formula>
    </cfRule>
    <cfRule type="cellIs" dxfId="9" priority="92" operator="equal">
      <formula>"是"</formula>
    </cfRule>
    <cfRule type="cellIs" dxfId="4" priority="93" operator="equal">
      <formula>"IVOC"</formula>
    </cfRule>
    <cfRule type="cellIs" dxfId="5" priority="94" operator="equal">
      <formula>"500/510"</formula>
    </cfRule>
    <cfRule type="cellIs" dxfId="6" priority="95" operator="equal">
      <formula>"500/510/IVOC"</formula>
    </cfRule>
  </conditionalFormatting>
  <conditionalFormatting sqref="K76">
    <cfRule type="cellIs" dxfId="11" priority="85" operator="equal">
      <formula>"堵塞"</formula>
    </cfRule>
    <cfRule type="cellIs" dxfId="10" priority="86" operator="equal">
      <formula>"不通过"</formula>
    </cfRule>
    <cfRule type="cellIs" dxfId="7" priority="87" operator="equal">
      <formula>"通过"</formula>
    </cfRule>
  </conditionalFormatting>
  <conditionalFormatting sqref="B77">
    <cfRule type="cellIs" dxfId="13" priority="82" operator="equal">
      <formula>"3级"</formula>
    </cfRule>
    <cfRule type="cellIs" dxfId="3" priority="83" operator="equal">
      <formula>"2级"</formula>
    </cfRule>
    <cfRule type="cellIs" dxfId="12" priority="84" operator="equal">
      <formula>"1级"</formula>
    </cfRule>
  </conditionalFormatting>
  <conditionalFormatting sqref="D77">
    <cfRule type="cellIs" dxfId="0" priority="75" operator="equal">
      <formula>"废弃"</formula>
    </cfRule>
    <cfRule type="cellIs" dxfId="1" priority="76" operator="equal">
      <formula>"更新"</formula>
    </cfRule>
    <cfRule type="cellIs" dxfId="2" priority="77" operator="equal">
      <formula>"优化"</formula>
    </cfRule>
    <cfRule type="cellIs" dxfId="3" priority="78" operator="equal">
      <formula>"新增"</formula>
    </cfRule>
    <cfRule type="cellIs" dxfId="4" priority="79" operator="equal">
      <formula>"IVOC"</formula>
    </cfRule>
    <cfRule type="cellIs" dxfId="5" priority="80" operator="equal">
      <formula>"500/510"</formula>
    </cfRule>
    <cfRule type="cellIs" dxfId="6" priority="81" operator="equal">
      <formula>"500/510/IVOC"</formula>
    </cfRule>
  </conditionalFormatting>
  <conditionalFormatting sqref="D77:E77">
    <cfRule type="cellIs" dxfId="7" priority="68" operator="equal">
      <formula>"新增"</formula>
    </cfRule>
  </conditionalFormatting>
  <conditionalFormatting sqref="E77">
    <cfRule type="cellIs" dxfId="7" priority="67" operator="equal">
      <formula>"是"</formula>
    </cfRule>
    <cfRule type="cellIs" dxfId="3" priority="69" operator="equal">
      <formula>"是"</formula>
    </cfRule>
    <cfRule type="cellIs" dxfId="8" priority="70" operator="equal">
      <formula>"否"</formula>
    </cfRule>
    <cfRule type="cellIs" dxfId="9" priority="71" operator="equal">
      <formula>"是"</formula>
    </cfRule>
    <cfRule type="cellIs" dxfId="4" priority="72" operator="equal">
      <formula>"IVOC"</formula>
    </cfRule>
    <cfRule type="cellIs" dxfId="5" priority="73" operator="equal">
      <formula>"500/510"</formula>
    </cfRule>
    <cfRule type="cellIs" dxfId="6" priority="74" operator="equal">
      <formula>"500/510/IVOC"</formula>
    </cfRule>
  </conditionalFormatting>
  <conditionalFormatting sqref="K77">
    <cfRule type="cellIs" dxfId="11" priority="64" operator="equal">
      <formula>"堵塞"</formula>
    </cfRule>
    <cfRule type="cellIs" dxfId="10" priority="65" operator="equal">
      <formula>"不通过"</formula>
    </cfRule>
    <cfRule type="cellIs" dxfId="7" priority="66" operator="equal">
      <formula>"通过"</formula>
    </cfRule>
  </conditionalFormatting>
  <conditionalFormatting sqref="B78">
    <cfRule type="cellIs" dxfId="13" priority="61" operator="equal">
      <formula>"3级"</formula>
    </cfRule>
    <cfRule type="cellIs" dxfId="3" priority="62" operator="equal">
      <formula>"2级"</formula>
    </cfRule>
    <cfRule type="cellIs" dxfId="12" priority="63" operator="equal">
      <formula>"1级"</formula>
    </cfRule>
  </conditionalFormatting>
  <conditionalFormatting sqref="D78">
    <cfRule type="cellIs" dxfId="0" priority="54" operator="equal">
      <formula>"废弃"</formula>
    </cfRule>
    <cfRule type="cellIs" dxfId="1" priority="55" operator="equal">
      <formula>"更新"</formula>
    </cfRule>
    <cfRule type="cellIs" dxfId="2" priority="56" operator="equal">
      <formula>"优化"</formula>
    </cfRule>
    <cfRule type="cellIs" dxfId="3" priority="57" operator="equal">
      <formula>"新增"</formula>
    </cfRule>
    <cfRule type="cellIs" dxfId="4" priority="58" operator="equal">
      <formula>"IVOC"</formula>
    </cfRule>
    <cfRule type="cellIs" dxfId="5" priority="59" operator="equal">
      <formula>"500/510"</formula>
    </cfRule>
    <cfRule type="cellIs" dxfId="6" priority="60" operator="equal">
      <formula>"500/510/IVOC"</formula>
    </cfRule>
  </conditionalFormatting>
  <conditionalFormatting sqref="D78:E78">
    <cfRule type="cellIs" dxfId="7" priority="47" operator="equal">
      <formula>"新增"</formula>
    </cfRule>
  </conditionalFormatting>
  <conditionalFormatting sqref="E78">
    <cfRule type="cellIs" dxfId="7" priority="46" operator="equal">
      <formula>"是"</formula>
    </cfRule>
    <cfRule type="cellIs" dxfId="3" priority="48" operator="equal">
      <formula>"是"</formula>
    </cfRule>
    <cfRule type="cellIs" dxfId="8" priority="49" operator="equal">
      <formula>"否"</formula>
    </cfRule>
    <cfRule type="cellIs" dxfId="9" priority="50" operator="equal">
      <formula>"是"</formula>
    </cfRule>
    <cfRule type="cellIs" dxfId="4" priority="51" operator="equal">
      <formula>"IVOC"</formula>
    </cfRule>
    <cfRule type="cellIs" dxfId="5" priority="52" operator="equal">
      <formula>"500/510"</formula>
    </cfRule>
    <cfRule type="cellIs" dxfId="6" priority="53" operator="equal">
      <formula>"500/510/IVOC"</formula>
    </cfRule>
  </conditionalFormatting>
  <conditionalFormatting sqref="K78">
    <cfRule type="cellIs" dxfId="11" priority="43" operator="equal">
      <formula>"堵塞"</formula>
    </cfRule>
    <cfRule type="cellIs" dxfId="10" priority="44" operator="equal">
      <formula>"不通过"</formula>
    </cfRule>
    <cfRule type="cellIs" dxfId="7" priority="45" operator="equal">
      <formula>"通过"</formula>
    </cfRule>
  </conditionalFormatting>
  <conditionalFormatting sqref="B79">
    <cfRule type="cellIs" dxfId="13" priority="40" operator="equal">
      <formula>"3级"</formula>
    </cfRule>
    <cfRule type="cellIs" dxfId="3" priority="41" operator="equal">
      <formula>"2级"</formula>
    </cfRule>
    <cfRule type="cellIs" dxfId="12" priority="42" operator="equal">
      <formula>"1级"</formula>
    </cfRule>
  </conditionalFormatting>
  <conditionalFormatting sqref="D79">
    <cfRule type="cellIs" dxfId="0" priority="33" operator="equal">
      <formula>"废弃"</formula>
    </cfRule>
    <cfRule type="cellIs" dxfId="1" priority="34" operator="equal">
      <formula>"更新"</formula>
    </cfRule>
    <cfRule type="cellIs" dxfId="2" priority="35" operator="equal">
      <formula>"优化"</formula>
    </cfRule>
    <cfRule type="cellIs" dxfId="3" priority="36" operator="equal">
      <formula>"新增"</formula>
    </cfRule>
    <cfRule type="cellIs" dxfId="4" priority="37" operator="equal">
      <formula>"IVOC"</formula>
    </cfRule>
    <cfRule type="cellIs" dxfId="5" priority="38" operator="equal">
      <formula>"500/510"</formula>
    </cfRule>
    <cfRule type="cellIs" dxfId="6" priority="39" operator="equal">
      <formula>"500/510/IVOC"</formula>
    </cfRule>
  </conditionalFormatting>
  <conditionalFormatting sqref="D79:E79">
    <cfRule type="cellIs" dxfId="7" priority="26" operator="equal">
      <formula>"新增"</formula>
    </cfRule>
  </conditionalFormatting>
  <conditionalFormatting sqref="E79">
    <cfRule type="cellIs" dxfId="7" priority="25" operator="equal">
      <formula>"是"</formula>
    </cfRule>
    <cfRule type="cellIs" dxfId="3" priority="27" operator="equal">
      <formula>"是"</formula>
    </cfRule>
    <cfRule type="cellIs" dxfId="8" priority="28" operator="equal">
      <formula>"否"</formula>
    </cfRule>
    <cfRule type="cellIs" dxfId="9" priority="29" operator="equal">
      <formula>"是"</formula>
    </cfRule>
    <cfRule type="cellIs" dxfId="4" priority="30" operator="equal">
      <formula>"IVOC"</formula>
    </cfRule>
    <cfRule type="cellIs" dxfId="5" priority="31" operator="equal">
      <formula>"500/510"</formula>
    </cfRule>
    <cfRule type="cellIs" dxfId="6" priority="32" operator="equal">
      <formula>"500/510/IVOC"</formula>
    </cfRule>
  </conditionalFormatting>
  <conditionalFormatting sqref="K79">
    <cfRule type="cellIs" dxfId="11" priority="22" operator="equal">
      <formula>"堵塞"</formula>
    </cfRule>
    <cfRule type="cellIs" dxfId="10" priority="23" operator="equal">
      <formula>"不通过"</formula>
    </cfRule>
    <cfRule type="cellIs" dxfId="7" priority="24" operator="equal">
      <formula>"通过"</formula>
    </cfRule>
  </conditionalFormatting>
  <conditionalFormatting sqref="K80:K1048576">
    <cfRule type="cellIs" dxfId="11" priority="4079" operator="equal">
      <formula>"堵塞"</formula>
    </cfRule>
  </conditionalFormatting>
  <conditionalFormatting sqref="B1:B2 B80:B1048576">
    <cfRule type="cellIs" dxfId="13" priority="4082" operator="equal">
      <formula>"3级"</formula>
    </cfRule>
    <cfRule type="cellIs" dxfId="3" priority="4086" operator="equal">
      <formula>"2级"</formula>
    </cfRule>
    <cfRule type="cellIs" dxfId="12" priority="4090" operator="equal">
      <formula>"1级"</formula>
    </cfRule>
  </conditionalFormatting>
  <conditionalFormatting sqref="K1 K80:K1048576">
    <cfRule type="cellIs" dxfId="10" priority="4080" operator="equal">
      <formula>"不通过"</formula>
    </cfRule>
    <cfRule type="cellIs" dxfId="7" priority="4081" operator="equal">
      <formula>"通过"</formula>
    </cfRule>
  </conditionalFormatting>
  <dataValidations count="4">
    <dataValidation type="list" allowBlank="1" showInputMessage="1" showErrorMessage="1" sqref="K1">
      <formula1>"通过,不通过"</formula1>
    </dataValidation>
    <dataValidation type="list" allowBlank="1" showInputMessage="1" showErrorMessage="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B1048576">
      <formula1>"1级,2级,3级"</formula1>
    </dataValidation>
    <dataValidation type="list" allowBlank="1" showInputMessage="1" showErrorMessage="1" sqref="D2:E2 D3:E3 D4:E4 D5:E5 D6:E6 D7:E7 D8:E8 D9:E9 D10:E10 D11:E11 D12:E12 D13:E13 D14:E14 D15:E15 D16:E16 D17:E17 D18:E18 D19:E19 D20:E20 D21:E21 D22:E22 D23:E23 D24:E24 D25:E25 D26:E26 D27:E27 D28:E28 D29:E29 D30:E30 D31:E31 D32:E32 D33:E33 D34:E34 D35:E35 D36:E36 D37:E37 D38:E38 D39:E39 D40:E40 D41:E41 D42:E42 D43:E43 D44:E44 D45:E45 D46:E46 D47:E47 D48:E48 D49:E49 D50:E50 D51:E51 D52:E52 D53:E53 D54:E54 D55:E55 D56:E56 D57:E57 D58:E58 D59:E59 D60:E60 D61:E61 D62:E62 D63:E63 D64:E64 D65:E65 D66:E66 D67:E67 D68:E68 D69:E69 D70:E70 D71:E71 D72:E72 D73:E73 D74:E74 D75:E75 D76:E76 D77:E77 D78:E78 D79:E79">
      <formula1>"新增,优化,更新,废弃,初始"</formula1>
    </dataValidation>
    <dataValidation type="list" allowBlank="1" showInputMessage="1" showErrorMessage="1"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K1048576">
      <formula1>"通过,不通过,堵塞"</formula1>
    </dataValidation>
  </dataValidations>
  <hyperlinks>
    <hyperlink ref="O1" location="总目录!A1" display="返回总目录"/>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总目录</vt:lpstr>
      <vt:lpstr>C9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黄瓶子</cp:lastModifiedBy>
  <dcterms:created xsi:type="dcterms:W3CDTF">2015-06-05T18:19:00Z</dcterms:created>
  <dcterms:modified xsi:type="dcterms:W3CDTF">2025-04-28T05:50:09Z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8F2A43C63C51410DA473CC02C7310229_13</vt:lpwstr>
  </property>
  <property fmtid="{D5CDD505-2E9C-101B-9397-08002B2CF9AE}" pid="3" name="KSOProductBuildVer">
    <vt:lpwstr>2052-12.1.0.20305</vt:lpwstr>
  </property>
</Properties>
</file>