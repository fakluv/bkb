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2"/>
  </bookViews>
  <sheets>
    <sheet name="总目录" sheetId="1" r:id="rId1"/>
    <sheet name="VOBC" sheetId="5" r:id="rId2"/>
    <sheet name="ATS" sheetId="3" r:id="rId3"/>
    <sheet name="DCS" sheetId="4" r:id="rId4"/>
    <sheet name="AIM" sheetId="6" r:id="rId5"/>
  </sheets>
  <definedNames>
    <definedName name="_xlnm._FilterDatabase" localSheetId="1" hidden="1">VOBC!$M$1:$M$301</definedName>
    <definedName name="_xlnm._FilterDatabase" localSheetId="3" hidden="1">DCS!$M$1:$M$11</definedName>
    <definedName name="_xlnm._FilterDatabase" localSheetId="4" hidden="1">AIM!$M$1:$M$46</definedName>
    <definedName name="_xlnm._FilterDatabase" localSheetId="2" hidden="1">ATS!$B$1:$P$1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<sst xmlns="http://schemas.openxmlformats.org/spreadsheetml/2006/main" count="3795" uniqueCount="772">
  <si>
    <t>功能模块</t>
  </si>
  <si>
    <t>总用例</t>
  </si>
  <si>
    <t>废弃用例</t>
  </si>
  <si>
    <t>有效用例</t>
  </si>
  <si>
    <t>本版本涉及用例</t>
  </si>
  <si>
    <t>通过用例</t>
  </si>
  <si>
    <t>失败用例</t>
  </si>
  <si>
    <t>已执行用例</t>
  </si>
  <si>
    <t>待执行用例</t>
  </si>
  <si>
    <t>堵塞用例</t>
  </si>
  <si>
    <t>已执行通过率</t>
  </si>
  <si>
    <t>跳转</t>
  </si>
  <si>
    <t>VOBC</t>
  </si>
  <si>
    <t>ATS</t>
  </si>
  <si>
    <t>DCS</t>
  </si>
  <si>
    <t>AIM</t>
  </si>
  <si>
    <t>总共</t>
  </si>
  <si>
    <t>帧类型</t>
  </si>
  <si>
    <t>字段名称</t>
  </si>
  <si>
    <t>用例等级</t>
  </si>
  <si>
    <t>用例类型</t>
  </si>
  <si>
    <t>用例状态</t>
  </si>
  <si>
    <t>本版本是否涉及</t>
  </si>
  <si>
    <t>用例编号</t>
  </si>
  <si>
    <t>用例标题</t>
  </si>
  <si>
    <t>前提条件</t>
  </si>
  <si>
    <t>操作步骤</t>
  </si>
  <si>
    <t>预期结果</t>
  </si>
  <si>
    <t>测试结果</t>
  </si>
  <si>
    <t>测试时间</t>
  </si>
  <si>
    <t>测试人员</t>
  </si>
  <si>
    <t>备注</t>
  </si>
  <si>
    <t>返回总目录</t>
  </si>
  <si>
    <t>告警信息帧</t>
  </si>
  <si>
    <t>辅助测速传感器状态(AssistDevAvailabilityState)</t>
  </si>
  <si>
    <t>1级</t>
  </si>
  <si>
    <t>通用</t>
  </si>
  <si>
    <t>新增</t>
  </si>
  <si>
    <t>是</t>
  </si>
  <si>
    <t>1端加速度计1积分速度和速传速度不一致（单端双加速度及）</t>
  </si>
  <si>
    <t xml:space="preserve">vobc与mss连接正常
</t>
  </si>
  <si>
    <t>发送报文  0x F0 FE</t>
  </si>
  <si>
    <t>生成故障：
告警内容：XX车1端加速度计1积分速度和速传速度不一致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</si>
  <si>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通过</t>
  </si>
  <si>
    <t>温荣跃</t>
  </si>
  <si>
    <t>1端加速度计1积分速度和速传速度一致（单端双加速度及）</t>
  </si>
  <si>
    <t>发送报文  0x F0 FF</t>
  </si>
  <si>
    <t>故障恢复</t>
  </si>
  <si>
    <t>1端加速度计2积分速度和速传速度一致（单端双加速度及）</t>
  </si>
  <si>
    <t>发送报文  0x F0 FD</t>
  </si>
  <si>
    <t>生成故障：
告警内容：XX车1端加速度计2积分速度和速传速度不一致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</si>
  <si>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2端加速度计1积分速度和速传速度不一致（单端双加速度及）</t>
  </si>
  <si>
    <t>发送报文  0x F0 FB</t>
  </si>
  <si>
    <t>生成故障：
告警内容：XX车2端加速度计1积分速度和速传速度不一致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</si>
  <si>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2端加速度计1积分速度和速传速度一致（单端双加速度及）</t>
  </si>
  <si>
    <t>2端加速度计2积分速度和速传速度一致（单端双加速度及）</t>
  </si>
  <si>
    <t>发送报文  0x F0 F7</t>
  </si>
  <si>
    <t>生成故障：
告警内容：XX车2端加速度计2积分速度和速传速度不一致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</si>
  <si>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1端加速度计1校正参数和NVRAM校正参数不一致（单端双加速度及）</t>
  </si>
  <si>
    <t>发送报文  0x F0 EF</t>
  </si>
  <si>
    <t>生成故障：
告警内容：XX车1端加速度计1校正参数和NVRAM存储的校准正参数不一致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</si>
  <si>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1端加速度计1校正参数和NVRAM校正参数一致（单端双加速度及）</t>
  </si>
  <si>
    <t>1端加速度计2校正参数和NVRAM校正参数不一致（单端双加速度及）</t>
  </si>
  <si>
    <t>发送报文  0x F0 DF</t>
  </si>
  <si>
    <t>生成故障：
告警内容：XX车1端加速度计2校正参数和NVRAM存储的校准正参数不一致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</si>
  <si>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1端加速度计2校正参数和NVRAM校正参数一致（单端双加速度及）</t>
  </si>
  <si>
    <t>2端加速度计1校正参数和NVRAM校正参数不一致（单端双加速度及）</t>
  </si>
  <si>
    <t>发送报文  0x F0 BF</t>
  </si>
  <si>
    <t>生成故障：
告警内容：XX车2端加速度计1校正参数和NVRAM存储的校准正参数不一致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</si>
  <si>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2端加速度计1校正参数和NVRAM校正参数一致（单端双加速度及）</t>
  </si>
  <si>
    <t>2端加速度计2校正参数和NVRAM校正参数不一致（单端双加速度及）</t>
  </si>
  <si>
    <t>发送报文  0x F0 7F</t>
  </si>
  <si>
    <t>生成故障：
告警内容：XX车2端加速度计2校正参数和NVRAM存储的校准正参数不一致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</si>
  <si>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2端加速度计2校正参数和NVRAM校正参数一致（单端双加速度及）</t>
  </si>
  <si>
    <t>1端加速度计1积分速度和速传速度不一致（单端单加速度及）</t>
  </si>
  <si>
    <t>1端加速度计1积分速度和速传速度一致（单端单加速度及）</t>
  </si>
  <si>
    <t>发送报文  0x E0 FF</t>
  </si>
  <si>
    <t>1端加速度计2积分速度和速传速度一致（单端单加速度及）</t>
  </si>
  <si>
    <t>发送报文  0x E0 FD</t>
  </si>
  <si>
    <t>2端加速度计1积分速度和速传速度不一致（单端单加速度及）</t>
  </si>
  <si>
    <t>2端加速度计1积分速度和速传速度一致（单端单加速度及）</t>
  </si>
  <si>
    <t>2端加速度计2积分速度和速传速度一致（单端单加速度及）</t>
  </si>
  <si>
    <t>发送报文  0x E0 F7</t>
  </si>
  <si>
    <t>1端加速度计1校正参数和NVRAM校正参数不一致（（单端单加速度及）</t>
  </si>
  <si>
    <t>发送报文  0xE0 EF</t>
  </si>
  <si>
    <t>1端加速度计1校正参数和NVRAM校正参数一致（单端单加速度及）</t>
  </si>
  <si>
    <t>1端加速度计2校正参数和NVRAM校正参数不一致（单端单加速度及）</t>
  </si>
  <si>
    <t>发送报文  0x E0 DF</t>
  </si>
  <si>
    <t>1端加速度计2校正参数和NVRAM校正参数一致（单端单加速度及）</t>
  </si>
  <si>
    <t>2端加速度计1校正参数和NVRAM校正参数不一致（单端单加速度及）</t>
  </si>
  <si>
    <t>发送报文  0x E0 BF</t>
  </si>
  <si>
    <t>2端加速度计1校正参数和NVRAM校正参数一致（单端单加速度及）</t>
  </si>
  <si>
    <t>发送报文  0xE0 FF</t>
  </si>
  <si>
    <t>2端加速度计2校正参数和NVRAM校正参数不一致（单端单加速度及）</t>
  </si>
  <si>
    <t>发送报文  0xE0 7F</t>
  </si>
  <si>
    <t>2端加速度计2校正参数和NVRAM校正参数一致（单端单加速度及）</t>
  </si>
  <si>
    <t>1端雷达速度和速传速度一致</t>
  </si>
  <si>
    <t>发送报文  0xD0 02</t>
  </si>
  <si>
    <t>生成故障：
告警内容：XX车1端雷达速度和速传速度不一致
报警等级：4级
报警原因： 未校准、校准值不准确； 雷达反射区域受扰、表面结冰等造成雷达测速异常
报警影响：速传打滑导致主用标尺丢失后，雷达/加速度计单元不可用时，会降低测速系统可用性（速传滑行后丧失恢复测速的机会，必然导致列车测速无效紧急并丢失位置）
处置建议：检查是否校准、校准值是否烧写正确；雷达表面是否清洁；检查列车汇报雷达不可用的轨道区域是否有积水等影响雷达测速的干扰因素</t>
  </si>
  <si>
    <t>发送报文  0xD0 01</t>
  </si>
  <si>
    <t>发送报文  0xD0 03</t>
  </si>
  <si>
    <t>没有辅助测试设备</t>
  </si>
  <si>
    <t>发送报文  0xC0 00</t>
  </si>
  <si>
    <t>未生成故障</t>
  </si>
  <si>
    <t>开关门命令（DoorAimState）</t>
  </si>
  <si>
    <t>开左门</t>
  </si>
  <si>
    <t>发送报文  0x01</t>
  </si>
  <si>
    <t>未生成故障-左侧车门打开</t>
  </si>
  <si>
    <t>关左门</t>
  </si>
  <si>
    <t>发送报文  0x02</t>
  </si>
  <si>
    <t>未生成故障-左侧车门关闭</t>
  </si>
  <si>
    <t>开右门</t>
  </si>
  <si>
    <t>发送报文  0x04</t>
  </si>
  <si>
    <t>未生成故障-右侧车门打开</t>
  </si>
  <si>
    <t>关右门</t>
  </si>
  <si>
    <t>发送报文  0x08</t>
  </si>
  <si>
    <t>未生成故障-右侧车门关闭</t>
  </si>
  <si>
    <t>超速原因（speedOverReason）</t>
  </si>
  <si>
    <t>未发生超速</t>
  </si>
  <si>
    <t>发送报文  0x00</t>
  </si>
  <si>
    <t>列车丢失应答器</t>
  </si>
  <si>
    <t>发生非由EBI突降引起的超速</t>
  </si>
  <si>
    <t>生成故障：
告警内容：XX车发生非由EBI突降引起的超速
报警等级：2级
报警原因： 列车超速
报警影响：列车超速触发紧急制动
处置建议：如果ATO控车下超速，建议人工驾驶运行，并拷取日志分析超速原因；如果人工驾驶超速，建议向司机进一步了解情况</t>
  </si>
  <si>
    <t>发生由EBI突降引起的超速</t>
  </si>
  <si>
    <t>生成故障：
告警内容：XX车发生由EBI突降引起的超速
报警等级：2级
报警原因： 列车超速
报警影响：列车超速触发紧急制动
处置建议：如果ATO控车下超速，建议人工驾驶运行，并拷取日志分析超速原因；如果人工驾驶超速，建议向司机进一步了解情况</t>
  </si>
  <si>
    <t>列车运行信息帧</t>
  </si>
  <si>
    <t>停车精度异常原因(parkExceptionReason)</t>
  </si>
  <si>
    <t>发生停车精度异常，原因未知</t>
  </si>
  <si>
    <t>生成故障：
告警内容：XX车停车精度异常，原因：未知
报警等级：2级
报警原因： 列车停车精度异常
报警影响：上下客、休眠唤醒、折返可能受到影响
处置建议：如果ATO控车下停车精度异常，建议人工驾驶运行，并拷取日志分析异常原因；如果人工驾驶停车精度异常，建议向司机进一步了解情况</t>
  </si>
  <si>
    <t>发生停车精度异常，原因为列车打滑</t>
  </si>
  <si>
    <t>生成故障：
告警内容：XX车停车精度异常，原因：列车打滑
报警等级：2级
报警原因： 列车停车精度异常
报警影响：上下客、休眠唤醒、折返可能受到影响
处置建议：如果ATO控车下停车精度异常，建议人工驾驶运行，并拷取日志分析异常原因；如果人工驾驶停车精度异常，建议向司机进一步了解情况</t>
  </si>
  <si>
    <t>发生停车精度异常，原因为列车丢失应答器</t>
  </si>
  <si>
    <t>生成故障：
告警内容：XX车停车精度异常，原因：列车丢失应答器
报警等级：2级
报警原因： 列车停车精度异常
报警影响：上下客、休眠唤醒、折返可能受到影响
处置建议：如果ATO控车下停车精度异常，建议人工驾驶运行，并拷取日志分析异常原因；如果人工驾驶停车精度异常，建议向司机进一步了解情况</t>
  </si>
  <si>
    <t>未发生停车精度异常</t>
  </si>
  <si>
    <t>发送报文  0xFF</t>
  </si>
  <si>
    <t>BTM定位失败原因(btmFailReason)</t>
  </si>
  <si>
    <t>尾收一个头收一个应答器,查询两应答器电子地图距离失败</t>
  </si>
  <si>
    <t>发送报文  0x00 00 00 01</t>
  </si>
  <si>
    <t>生成故障：
告警内容：XX车BTM定位失败。原因：尾收一个头收一个应答器,查询两应答器电子地图距离失败
报警等级：2级
报警原因：列车BTM定位失败
报警影响：列车无法通过应答器定位
处置建议：重启ATP和BTM，若重启后仍无法定位，则列车下线</t>
  </si>
  <si>
    <t>尾收一个头收一个应答器,查询两应答器电子地图距离成功</t>
  </si>
  <si>
    <t>发送报文  0x00 00 00 00</t>
  </si>
  <si>
    <t>尾收一个头收一个应答器,查询车尾丢失应答器起点距离失败</t>
  </si>
  <si>
    <t>发送报文  0x00 00 00 02</t>
  </si>
  <si>
    <t>生成故障：
告警内容：XX车BTM定位失败。原因：尾收一个头收一个应答器,查询车尾丢失应答器起点距离失败
报警等级：2级
报警原因：列车BTM定位失败
报警影响：列车无法通过应答器定位
处置建议：重启ATP和BTM，若重启后仍无法定位，则列车下线</t>
  </si>
  <si>
    <t>尾收一个头收一个应答器,查询车尾丢失应答器起点距离成功</t>
  </si>
  <si>
    <t>尾收一个头收一个应答器,根据车头-车长获取车尾位置失败</t>
  </si>
  <si>
    <t>发送报文  0x00 00 00 04</t>
  </si>
  <si>
    <t>生成故障：
告警内容：XX车BTM定位失败。原因：尾收一个头收一个应答器,根据车头-车长获取车尾位置失败
报警等级：2级
报警原因：列车BTM定位失败
报警影响：列车无法通过应答器定位
处置建议：重启ATP和BTM，若重启后仍无法定位，则列车下线</t>
  </si>
  <si>
    <t>尾收一个头收一个应答器,根据车头-车长获取车尾位置成功</t>
  </si>
  <si>
    <t>尾收一个头收一个应答器,根据车头接收应答器位置查询车头位置失败</t>
  </si>
  <si>
    <t>发送报文  0x00 00 00 08</t>
  </si>
  <si>
    <t>生成故障：
告警内容：XX车BTM定位失败。原因：尾收一个头收一个应答器,根据车头接收应答器位置查询车头位置失败
报警等级：2级
报警原因：列车BTM定位失败
报警影响：列车无法通过应答器定位
处置建议：重启ATP和BTM，若重启后仍无法定位，则列车下线</t>
  </si>
  <si>
    <t>尾收一个头收一个应答器,根据车头接收应答器位置查询车头位置成功</t>
  </si>
  <si>
    <t>尾收一个头收一个应答器,开窗初始定位失败</t>
  </si>
  <si>
    <t>发送报文  0x00 00 00 10</t>
  </si>
  <si>
    <t>生成故障：
告警内容：XX车BTM定位失败。原因：尾收一个头收一个应答器,开窗初始定位失败
报警等级：2级
报警原因：列车BTM定位失败
报警影响：列车无法通过应答器定位
处置建议：重启ATP和BTM，若重启后仍无法定位，则列车下线</t>
  </si>
  <si>
    <t>尾收一个头收一个应答器,开窗初始定位成功</t>
  </si>
  <si>
    <t>头收一个尾收一个应答器,查询两应答器电子地图距离失败</t>
  </si>
  <si>
    <t>发送报文  0x00 00 00 20</t>
  </si>
  <si>
    <t>生成故障：
告警内容：XX车BTM定位失败。原因：头收一个尾收一个应答器,查询两应答器电子地图距离失败
报警等级：2级
报警原因：列车BTM定位失败
报警影响：列车无法通过应答器定位
处置建议：重启ATP和BTM，若重启后仍无法定位，则列车下线</t>
  </si>
  <si>
    <t>头收一个尾收一个应答器,查询两应答器电子地图距离成功</t>
  </si>
  <si>
    <t>头收一个尾收一个应答器,查询车头丢失应答器起点距离失败</t>
  </si>
  <si>
    <t>发送报文  0x00 00 00 40</t>
  </si>
  <si>
    <t>生成故障：
告警内容：XX车BTM定位失败。原因：头收一个尾收一个应答器,查询车头丢失应答器起点距离失败
报警等级：2级
报警原因：列车BTM定位失败
报警影响：列车无法通过应答器定位
处置建议：重启ATP和BTM，若重启后仍无法定位，则列车下线</t>
  </si>
  <si>
    <t>头收一个尾收一个应答器,查询车头丢失应答器起点距离成功</t>
  </si>
  <si>
    <t>头收一个尾收一个应答器,根据车尾+车长获取车头位置失败</t>
  </si>
  <si>
    <t>发送报文  0x00 00 00 80</t>
  </si>
  <si>
    <t>生成故障：
告警内容：XX车BTM定位失败。原因：头收一个尾收一个应答器,根据车尾+车长获取车头位置失败
报警等级：2级
报警原因：列车BTM定位失败
报警影响：列车无法通过应答器定位
处置建议：重启ATP和BTM，若重启后仍无法定位，则列车下线</t>
  </si>
  <si>
    <t>头收一个尾收一个应答器,根据车尾+车长获取车头位置成功</t>
  </si>
  <si>
    <t>头收一个尾收一个应答器,根据车尾接收应答器位置查询车尾位置失败</t>
  </si>
  <si>
    <t>发送报文  0x00 00 01 00</t>
  </si>
  <si>
    <t>生成故障：
告警内容：XX车BTM定位失败。原因：头收一个尾收一个应答器,根据车尾接收应答器位置查询车尾位置失败
报警等级：2级
报警原因：列车BTM定位失败
报警影响：列车无法通过应答器定位
处置建议：重启ATP和BTM，若重启后仍无法定位，则列车下线</t>
  </si>
  <si>
    <t>头收一个尾收一个应答器,根据车尾接收应答器位置查询车尾位置成功</t>
  </si>
  <si>
    <t>头收一个尾收一个应答器,开窗初始定位失败</t>
  </si>
  <si>
    <t>发送报文  0x00 00 02 00</t>
  </si>
  <si>
    <t>生成故障：
告警内容：XX车BTM定位失败。原因：头收一个尾收一个应答器,开窗初始定位失败
报警等级：2级
报警原因：列车BTM定位失败
报警影响：列车无法通过应答器定位
处置建议：重启ATP和BTM，若重启后仍无法定位，则列车下线</t>
  </si>
  <si>
    <t>头收一个尾收一个应答器,开窗初始定位成功</t>
  </si>
  <si>
    <t>头收一个尾收一个应答器,两应答器间实际走行距离小于(初始测距误差+走行测距误差+余量)</t>
  </si>
  <si>
    <t>发送报文  0x00 00 04 00</t>
  </si>
  <si>
    <t>生成故障：
告警内容：XX车BTM定位失败。原因：头收一个尾收一个应答器,两应答器间实际走行距离小于(初始测距误差+走行测距误差+余量)
报警等级：2级
报警原因：列车BTM定位失败
报警影响：列车无法通过应答器定位
处置建议：重启ATP和BTM，若重启后仍无法定位，则列车下线</t>
  </si>
  <si>
    <t>头收一个尾收一个应答器,两应答器间实际走行距离大于等于(初始测距误差+走行测距误差+余量)</t>
  </si>
  <si>
    <t>尾端连收两应答器,查询两应答器电子地图距离失败</t>
  </si>
  <si>
    <t>发送报文  0x00 00 08 00</t>
  </si>
  <si>
    <t>生成故障：
告警内容：XX车BTM定位失败。原因：尾端连收两应答器,查询两应答器电子地图距离失败
报警等级：2级
报警原因：列车BTM定位失败
报警影响：列车无法通过应答器定位
处置建议：重启ATP和BTM，若重启后仍无法定位，则列车下线</t>
  </si>
  <si>
    <t>尾端连收两应答器,查询两应答器电子地图距离成功</t>
  </si>
  <si>
    <t>尾端连收两应答器,查询车头丢失应答器起点距离失败</t>
  </si>
  <si>
    <t>发送报文  0x00 00 10 00</t>
  </si>
  <si>
    <t>生成故障：
告警内容：XX车BTM定位失败。原因：尾端连收两应答器,查询车头丢失应答器起点距离失败
报警等级：2级
报警原因：列车BTM定位失败
报警影响：列车无法通过应答器定位
处置建议：重启ATP和BTM，若重启后仍无法定位，则列车下线</t>
  </si>
  <si>
    <t>尾端连收两应答器,查询车头丢失应答器起点距离成功</t>
  </si>
  <si>
    <t>尾端连收两应答器,根据车尾+车长获取车头位置失败</t>
  </si>
  <si>
    <t>发送报文  0x00 00 20 00</t>
  </si>
  <si>
    <t>生成故障：
告警内容：XX车BTM定位失败。原因：尾端连收两应答器,根据车尾+车长获取车头位置失败
报警等级：2级
报警原因：列车BTM定位失败
报警影响：列车无法通过应答器定位
处置建议：重启ATP和BTM，若重启后仍无法定位，则列车下线</t>
  </si>
  <si>
    <t>尾端连收两应答器,根据车尾+车长获取车头位置成功</t>
  </si>
  <si>
    <t>尾端连收两应答器,根据车尾接收应答器位置查询车尾位置失败</t>
  </si>
  <si>
    <t>发送报文  0x00 00 40 00</t>
  </si>
  <si>
    <t>生成故障：
告警内容：XX车BTM定位失败。原因：尾端连收两应答器,根据车尾接收应答器位置查询车尾位置失败
报警等级：2级
报警原因：列车BTM定位失败
报警影响：列车无法通过应答器定位
处置建议：重启ATP和BTM，若重启后仍无法定位，则列车下线</t>
  </si>
  <si>
    <t>尾端连收两应答器,根据车尾接收应答器位置查询车尾位置成功</t>
  </si>
  <si>
    <t>尾端连收两应答器,开窗初始定位失败</t>
  </si>
  <si>
    <t>发送报文  0x00 00 80 00</t>
  </si>
  <si>
    <t>生成故障：
告警内容：XX车BTM定位失败。原因：尾端连收两应答器,开窗初始定位失败
报警等级：2级
报警原因：列车BTM定位失败
报警影响：列车无法通过应答器定位
处置建议：重启ATP和BTM，若重启后仍无法定位，则列车下线</t>
  </si>
  <si>
    <t>尾端连收两应答器,开窗初始定位成功</t>
  </si>
  <si>
    <t>头端连收两应答器,查询第二个应答器的位置和方向失败</t>
  </si>
  <si>
    <t>发送报文  0x00 01 00 00</t>
  </si>
  <si>
    <t>生成故障：
告警内容：XX车BTM定位失败。原因：头端连收两应答器,查询第二个应答器的位置和方向失败
报警等级：2级
报警原因：列车BTM定位失败
报警影响：列车无法通过应答器定位
处置建议：重启ATP和BTM，若重启后仍无法定位，则列车下线</t>
  </si>
  <si>
    <t>头端连收两应答器,查询第二个应答器的位置和方向成功</t>
  </si>
  <si>
    <t>头端连收两应答器,查询两应答器电子地图距离失败</t>
  </si>
  <si>
    <t>发送报文  0x00 02 00 00</t>
  </si>
  <si>
    <t>生成故障：
告警内容：XX车BTM定位失败。原因：头端连收两应答器,查询两应答器电子地图距离失败
报警等级：2级
报警原因：列车BTM定位失败
报警影响：列车无法通过应答器定位
处置建议：重启ATP和BTM，若重启后仍无法定位，则列车下线</t>
  </si>
  <si>
    <t>头端连收两应答器,查询两应答器电子地图距离成功</t>
  </si>
  <si>
    <t>头端连收两应答器,查询车尾丢失应答器起点距离失败</t>
  </si>
  <si>
    <t>发送报文  0x00 04 00 00</t>
  </si>
  <si>
    <t>生成故障：
告警内容：XX车BTM定位失败。原因：头端连收两应答器,查询车尾丢失应答器起点距离失败
报警等级：2级
报警原因：列车BTM定位失败
报警影响：列车无法通过应答器定位
处置建议：重启ATP和BTM，若重启后仍无法定位，则列车下线</t>
  </si>
  <si>
    <t>头端连收两应答器,查询车尾丢失应答器起点距离成功</t>
  </si>
  <si>
    <t>头端连收两应答器,根据车头-车长获取车尾位置失败</t>
  </si>
  <si>
    <t>发送报文  0x00 08 00 00</t>
  </si>
  <si>
    <t>生成故障：
告警内容：XX车BTM定位失败。原因：头端连收两应答器,根据车头-车长获取车尾位置失败
报警等级：2级
报警原因：列车BTM定位失败
报警影响：列车无法通过应答器定位
处置建议：重启ATP和BTM，若重启后仍无法定位，则列车下线</t>
  </si>
  <si>
    <t>头端连收两应答器,根据车头-车长获取车尾位置成功</t>
  </si>
  <si>
    <t>头端连收两应答器,开窗初始定位失败</t>
  </si>
  <si>
    <t>发送报文  0x00 10 00 00</t>
  </si>
  <si>
    <t>生成故障：
告警内容：XX车BTM定位失败。原因：头端连收两应答器,开窗初始定位失败
报警等级：2级
报警原因：列车BTM定位失败
报警影响：列车无法通过应答器定位
处置建议：重启ATP和BTM，若重启后仍无法定位，则列车下线</t>
  </si>
  <si>
    <t>头端连收两应答器,开窗初始定位成功</t>
  </si>
  <si>
    <t>发送报文  0x00 20 00 00</t>
  </si>
  <si>
    <t>列车当前处于退行或后溜,不初始定位</t>
  </si>
  <si>
    <t>发送报文  0x00 40 00 00</t>
  </si>
  <si>
    <t>生成故障：
告警内容：XX车BTM定位失败。原因：列车当前处于退行或后溜,不初始定位
报警等级：2级
报警原因：列车BTM定位失败
报警影响：列车无法通过应答器定位
处置建议：重启ATP和BTM，若重启后仍无法定位，则列车下线</t>
  </si>
  <si>
    <t>列车当前未处于退行或后溜,初始定位</t>
  </si>
  <si>
    <t>无控制端,不初始定位</t>
  </si>
  <si>
    <t>发送报文  0x00 80 00 00</t>
  </si>
  <si>
    <t>生成故障：
告警内容：XX车BTM定位失败。原因：无控制端,不初始定位
报警等级：2级
报警原因：列车BTM定位失败
报警影响：列车无法通过应答器定位
处置建议：重启ATP和BTM，若重启后仍无法定位，则列车下线</t>
  </si>
  <si>
    <t>有控制端,初始定位</t>
  </si>
  <si>
    <t>BTM唤醒初始定位,查询两应答器位置所在CI出库方向数据错误</t>
  </si>
  <si>
    <t>发送报文  0x01 00 00 00</t>
  </si>
  <si>
    <t>生成故障：
告警内容：XX车BTM定位失败。原因：BTM唤醒初始定位,查询两应答器位置所在CI出库方向数据错误
报警等级：2级
报警原因：列车BTM定位失败
报警影响：列车无法通过应答器定位
处置建议：重启ATP和BTM，若重启后仍无法定位，则列车下线</t>
  </si>
  <si>
    <t>BTM唤醒初始定位,查询两应答器位置所在CI出库方向数据正确</t>
  </si>
  <si>
    <t>BTM唤醒初始定位,查询车尾丢失应答器起点距离失败</t>
  </si>
  <si>
    <t>发送报文  0x02 00 00 00</t>
  </si>
  <si>
    <t>生成故障：
告警内容：XX车BTM定位失败。原因：BTM唤醒初始定位,查询车尾丢失应答器起点距离失败
报警等级：2级
报警原因：列车BTM定位失败
报警影响：列车无法通过应答器定位
处置建议：重启ATP和BTM，若重启后仍无法定位，则列车下线</t>
  </si>
  <si>
    <t>BTM唤醒初始定位,查询车尾丢失应答器起点距离成功</t>
  </si>
  <si>
    <t>BTM唤醒初始定位,根据车头-车长获取车尾位置失败</t>
  </si>
  <si>
    <t>发送报文  0x04 00 00 00</t>
  </si>
  <si>
    <t>生成故障：
告警内容：XX车BTM定位失败。原因：BTM唤醒初始定位,根据车头-车长获取车尾位置失败
报警等级：2级
报警原因：列车BTM定位失败
报警影响：列车无法通过应答器定位
处置建议：重启ATP和BTM，若重启后仍无法定位，则列车下线</t>
  </si>
  <si>
    <t>BTM唤醒初始定位,根据车头-车长获取车尾位置成功</t>
  </si>
  <si>
    <t>BTM唤醒初始定位,根据车头接收应答器位置查询车头位置失败</t>
  </si>
  <si>
    <t>发送报文  0x08 00 00 00</t>
  </si>
  <si>
    <t>生成故障：
告警内容：XX车BTM定位失败。原因：BTM唤醒初始定位,根据车头接收应答器位置查询车头位置失败
报警等级：2级
报警原因：列车BTM定位失败
报警影响：列车无法通过应答器定位
处置建议：重启ATP和BTM，若重启后仍无法定位，则列车下线</t>
  </si>
  <si>
    <t>BTM唤醒初始定位,根据车头接收应答器位置查询车头位置成功</t>
  </si>
  <si>
    <t>NVRAM唤醒初始定位,查询头尾位置所在CI出库方向数据错误</t>
  </si>
  <si>
    <t>发送报文  0x10 00 00 00</t>
  </si>
  <si>
    <t>生成故障：
告警内容：XX车BTM定位失败。原因：NVRAM唤醒初始定位,查询头尾位置所在CI出库方向数据错误
报警等级：2级
报警原因：列车BTM定位失败
报警影响：列车无法通过应答器定位
处置建议：重启ATP和BTM，若重启后仍无法定位，则列车下线</t>
  </si>
  <si>
    <t>NVRAM唤醒初始定位,查询头尾位置所在CI出库方向数据正确</t>
  </si>
  <si>
    <t>发送报文  0x20 00 00 00</t>
  </si>
  <si>
    <t>NVRAM唤醒初始定位,根据车头-车长获取车尾位置失败</t>
  </si>
  <si>
    <t>发送报文  0x40 00 00 00</t>
  </si>
  <si>
    <t>生成故障：
告警内容：XX车BTM定位失败。原因：NVRAM唤醒初始定位,根据车头-车长获取车尾位置失败
报警等级：2级
报警原因：列车BTM定位失败
报警影响：列车无法通过应答器定位
处置建议：重启ATP和BTM，若重启后仍无法定位，则列车下线</t>
  </si>
  <si>
    <t>NVRAM唤醒初始定位,根据车头-车长获取车尾位置成功</t>
  </si>
  <si>
    <t>NVRAM唤醒初始定位,头尾位置不在休眠唤醒区域,定位失败</t>
  </si>
  <si>
    <t>发送报文  0x80 00 00 00</t>
  </si>
  <si>
    <t>生成故障：
告警内容：XX车BTM定位失败。原因：NVRAM唤醒初始定位,头尾位置不在休眠唤醒区域,定位失败
报警等级：2级
报警原因：列车BTM定位失败
报警影响：列车无法通过应答器定位
处置建议：重启ATP和BTM，若重启后仍无法定位，则列车下线</t>
  </si>
  <si>
    <t>NVRAM唤醒初始定位,头尾位置在休眠唤醒区域,定位成功</t>
  </si>
  <si>
    <t>校轮失败原因（wheelFailReason）</t>
  </si>
  <si>
    <t>收到3校轮应答器,查询各相邻两校轮应答器之间的实际距离失败</t>
  </si>
  <si>
    <t>生成故障：
告警内容：XX车轮径校正失败。原因：收到3校轮应答器,查询各相邻两校轮应答器之间的实际距离失败
报警等级：2级
报警原因：列车轮径校正失败
报警影响：列车测速定位信息不可靠
处置建议：建议列车下线，拷取日志分析校轮情况</t>
  </si>
  <si>
    <t>收到3校轮应答器,查询各相邻两校轮应答器之间的实际距离成功</t>
  </si>
  <si>
    <t>收到3校轮应答器,存在非法ID或相同应答器</t>
  </si>
  <si>
    <t>生成故障：
告警内容：XX车BTM定位失败。原因：收到3校轮应答器,存在非法ID或相同应答器
报警等级：2级
报警原因：列车BTM定位失败
报警影响：列车无法通过应答器定位
处置建议：重启ATP和BTM，若重启后仍无法定位，则列车下线</t>
  </si>
  <si>
    <t>收到3校轮应答器,不存在非法ID或相同应答器</t>
  </si>
  <si>
    <t>先收到2校轮应答器,查询相邻关系失败</t>
  </si>
  <si>
    <t>生成故障：
告警内容：XX车BTM定位失败。原因：先收到2校轮应答器,查询相邻关系失败
报警等级：2级
报警原因：列车BTM定位失败
报警影响：列车无法通过应答器定位
处置建议：重启ATP和BTM，若重启后仍无法定位，则列车下线</t>
  </si>
  <si>
    <t>先收到2校轮应答器,查询相邻关系成功</t>
  </si>
  <si>
    <t>先收到2校轮应答器,查询电子地图两应答器距离失败</t>
  </si>
  <si>
    <t>生成故障：
告警内容：XX车BTM定位失败。原因：先收到2校轮应答器,查询电子地图两应答器距离失败
报警等级：2级
报警原因：列车BTM定位失败
报警影响：列车无法通过应答器定位
处置建议：重启ATP和BTM，若重启后仍无法定位，则列车下线</t>
  </si>
  <si>
    <t>先收到2校轮应答器,查询电子地图两应答器距离成功</t>
  </si>
  <si>
    <t>先收到2校轮应答器,存在非法ID或2校轮应答器相同</t>
  </si>
  <si>
    <t>生成故障：
告警内容：XX车BTM定位失败。原因：先收到2校轮应答器,存在非法ID或2校轮应答器相同
报警等级：2级
报警原因：列车BTM定位失败
报警影响：列车无法通过应答器定位
处置建议：重启ATP和BTM，若重启后仍无法定位，则列车下线</t>
  </si>
  <si>
    <t>先收到2校轮应答器,不存在非法ID或2校轮应答器相同</t>
  </si>
  <si>
    <t>3校轮方案,2应答器校轮,走行距离为0</t>
  </si>
  <si>
    <t>生成故障：
告警内容：XX车BTM定位失败。原因：3校轮方案,2应答器校轮,走行距离为0
报警等级：2级
报警原因：列车BTM定位失败
报警影响：列车无法通过应答器定位
处置建议：重启ATP和BTM，若重启后仍无法定位，则列车下线</t>
  </si>
  <si>
    <t>3校轮方案,2应答器校轮,走行距离不为0</t>
  </si>
  <si>
    <t>3校轮方案,2应答器校轮,新轮径值范围超限</t>
  </si>
  <si>
    <t>生成故障：
告警内容：XX车BTM定位失败。原因：3校轮方案,2应答器校轮,新轮径值范围超限
报警等级：2级
报警原因：列车BTM定位失败
报警影响：列车无法通过应答器定位
处置建议：重启ATP和BTM，若重启后仍无法定位，则列车下线</t>
  </si>
  <si>
    <t>3校轮方案,2应答器校轮,新轮径值范围未超限</t>
  </si>
  <si>
    <t>3校轮方案,2应答器校轮,新旧轮径值偏差范围超限</t>
  </si>
  <si>
    <t>生成故障：
告警内容：XX车BTM定位失败。原因：3校轮方案,2应答器校轮,新旧轮径值偏差范围超限
报警等级：2级
报警原因：列车BTM定位失败
报警影响：列车无法通过应答器定位
处置建议：重启ATP和BTM，若重启后仍无法定位，则列车下线</t>
  </si>
  <si>
    <t>3校轮方案,2应答器校轮,新旧轮径值偏差范围未超限</t>
  </si>
  <si>
    <t>3校轮方案,3应答器校轮,存在两应答器间走行距离为0</t>
  </si>
  <si>
    <t>生成故障：
告警内容：XX车BTM定位失败。原因：3校轮方案,3应答器校轮,存在两应答器间走行距离为0
报警等级：2级
报警原因：列车BTM定位失败
报警影响：列车无法通过应答器定位
处置建议：重启ATP和BTM，若重启后仍无法定位，则列车下线</t>
  </si>
  <si>
    <t>3校轮方案,3应答器校轮,存在两应答器间走行距离不为0</t>
  </si>
  <si>
    <t>3校轮方案,3应答器校轮,3个新轮径值存在范围超限</t>
  </si>
  <si>
    <t>生成故障：
告警内容：XX车BTM定位失败。原因：3校轮方案,3应答器校轮,3个新轮径值存在范围超限
报警等级：2级
报警原因：列车BTM定位失败
报警影响：列车无法通过应答器定位
处置建议：重启ATP和BTM，若重启后仍无法定位，则列车下线</t>
  </si>
  <si>
    <t>3校轮方案,3应答器校轮,3个新轮径值存在范围未超限</t>
  </si>
  <si>
    <t>3校轮方案,3应答器校轮,轮径校正平均值变化范围合法性检查失败</t>
  </si>
  <si>
    <t>生成故障：
告警内容：XX车BTM定位失败。原因：3校轮方案,3应答器校轮,轮径校正平均值变化范围合法性检查失败
报警等级：2级
报警原因：列车BTM定位失败
报警影响：列车无法通过应答器定位
处置建议：重启ATP和BTM，若重启后仍无法定位，则列车下线</t>
  </si>
  <si>
    <t>3校轮方案,3应答器校轮,轮径校正平均值变化范围合法性检查成功</t>
  </si>
  <si>
    <t>3校轮方案,3应答器校轮,镟轮,新旧轮径值偏差过大</t>
  </si>
  <si>
    <t>生成故障：
告警内容：XX车BTM定位失败。原因：3校轮方案,3应答器校轮,镟轮,新旧轮径值偏差过大
报警等级：2级
报警原因：列车BTM定位失败
报警影响：列车无法通过应答器定位
处置建议：重启ATP和BTM，若重启后仍无法定位，则列车下线</t>
  </si>
  <si>
    <t>3校轮方案,3应答器校轮,镟轮,新旧轮径值偏差未过大</t>
  </si>
  <si>
    <t>校轮方案,3应答器校轮成功,写入NVRAM新轮径序列失败</t>
  </si>
  <si>
    <t>生成故障：
告警内容：XX车BTM定位失败。原因：校轮方案,3应答器校轮成功,写入NVRAM新轮径序列失败
报警等级：2级
报警原因：列车BTM定位失败
报警影响：列车无法通过应答器定位
处置建议：重启ATP和BTM，若重启后仍无法定位，则列车下线</t>
  </si>
  <si>
    <t>校轮方案,3应答器校轮成功,写入NVRAM新轮径序列成功</t>
  </si>
  <si>
    <t>3校轮方案,3应答器校轮失败,写入NVRAM失败次数失败</t>
  </si>
  <si>
    <t>生成故障：
告警内容：XX车BTM定位失败。原因：3校轮方案,3应答器校轮失败,写入NVRAM失败次数失败
报警等级：2级
报警原因：列车BTM定位失败
报警影响：列车无法通过应答器定位
处置建议：重启ATP和BTM，若重启后仍无法定位，则列车下线</t>
  </si>
  <si>
    <t>3校轮方案,3应答器校轮失败,写入NVRAM失败次数成功</t>
  </si>
  <si>
    <t>2校轮方案,查询两校轮应答器之间的实际距离失败</t>
  </si>
  <si>
    <t>生成故障：
告警内容：XX车BTM定位失败。原因：2校轮方案,查询两校轮应答器之间的实际距离失败
报警等级：2级
报警原因：列车BTM定位失败
报警影响：列车无法通过应答器定位
处置建议：重启ATP和BTM，若重启后仍无法定位，则列车下线</t>
  </si>
  <si>
    <t>2校轮方案,查询两校轮应答器之间的实际距离成功</t>
  </si>
  <si>
    <t>2校轮方案,两应答器间走行距离为0</t>
  </si>
  <si>
    <t>生成故障：
告警内容：XX车BTM定位失败。原因：2校轮方案,两应答器间走行距离为0
报警等级：2级
报警原因：列车BTM定位失败
报警影响：列车无法通过应答器定位
处置建议：重启ATP和BTM，若重启后仍无法定位，则列车下线</t>
  </si>
  <si>
    <t>2校轮方案,两应答器间走行距离不为0</t>
  </si>
  <si>
    <t>2校轮方案,新轮径值范围超限</t>
  </si>
  <si>
    <t>生成故障：
告警内容：XX车BTM定位失败。原因：2校轮方案,新轮径值范围超限
报警等级：2级
报警原因：列车BTM定位失败
报警影响：列车无法通过应答器定位
处置建议：重启ATP和BTM，若重启后仍无法定位，则列车下线</t>
  </si>
  <si>
    <t>2校轮方案,新轮径值范围未超限</t>
  </si>
  <si>
    <t>2校轮方案,新旧轮径值偏差过大</t>
  </si>
  <si>
    <t>生成故障：
告警内容：XX车BTM定位失败。原因：2校轮方案,新旧轮径值偏差过大
报警等级：2级
报警原因：列车BTM定位失败
报警影响：列车无法通过应答器定位
处置建议：重启ATP和BTM，若重启后仍无法定位，则列车下线</t>
  </si>
  <si>
    <t>2校轮方案,新旧轮径值偏差未过大</t>
  </si>
  <si>
    <t>2校轮方案,校轮成功,写入NVRAM新轮径序列失败</t>
  </si>
  <si>
    <t>生成故障：
告警内容：XX车BTM定位失败。原因：2校轮方案,校轮成功,写入NVRAM新轮径序列失败
报警等级：2级
报警原因：列车BTM定位失败
报警影响：列车无法通过应答器定位
处置建议：重启ATP和BTM，若重启后仍无法定位，则列车下线</t>
  </si>
  <si>
    <t>2校轮方案,校轮成功,写入NVRAM新轮径序列成功</t>
  </si>
  <si>
    <t>2校轮方案,校轮失败,写入NVRAM失败次数失败</t>
  </si>
  <si>
    <t>生成故障：
告警内容：XX车BTM定位失败。原因：2校轮方案,校轮失败,写入NVRAM失败次数失败
报警等级：2级
报警原因：列车BTM定位失败
报警影响：列车无法通过应答器定位
处置建议：重启ATP和BTM，若重启后仍无法定位，则列车下线</t>
  </si>
  <si>
    <t>2校轮方案,校轮成功,写入NVRAM失败次数失败成功</t>
  </si>
  <si>
    <t>新轮径值收敛失败</t>
  </si>
  <si>
    <t>生成故障：
告警内容：XX车BTM定位失败。原因：新轮径值收敛失败
报警等级：2级
报警原因：列车BTM定位失败
报警影响：列车无法通过应答器定位
处置建议：重启ATP和BTM，若重启后仍无法定位，则列车下线</t>
  </si>
  <si>
    <t>新轮径值收敛成功</t>
  </si>
  <si>
    <t>空转状态（spinStatus）</t>
  </si>
  <si>
    <t>未收到TCMS汇报的空转</t>
  </si>
  <si>
    <t>未生成告警-未收到TCMS汇报的空转</t>
  </si>
  <si>
    <t>收到TCMS汇报的空转</t>
  </si>
  <si>
    <t>生成故障：
告警内容：XX车TCMS汇报空转
报警等级：3级
报警原因：TCMS汇报列车空转
报警影响：可能对轨面和轮对产生影响
处置建议：建议联合车辆分析空转原因</t>
  </si>
  <si>
    <r>
      <rPr>
        <sz val="10.5"/>
        <color theme="1"/>
        <rFont val="Times New Roman"/>
        <charset val="134"/>
      </rPr>
      <t>TC1</t>
    </r>
    <r>
      <rPr>
        <sz val="10.5"/>
        <color theme="1"/>
        <rFont val="宋体"/>
        <charset val="134"/>
      </rPr>
      <t>端本次校轮值（</t>
    </r>
    <r>
      <rPr>
        <sz val="10.5"/>
        <color theme="1"/>
        <rFont val="Times New Roman"/>
        <charset val="134"/>
      </rPr>
      <t>tc1WheelValue</t>
    </r>
    <r>
      <rPr>
        <sz val="10.5"/>
        <color theme="1"/>
        <rFont val="宋体"/>
        <charset val="134"/>
      </rPr>
      <t>）</t>
    </r>
  </si>
  <si>
    <t>TC1端未进行校轮值</t>
  </si>
  <si>
    <t>发送报文  0x00 00</t>
  </si>
  <si>
    <t>上报轮径校准值为0</t>
  </si>
  <si>
    <t>TC1端进行本次校轮值</t>
  </si>
  <si>
    <t>发送报文  0x03052</t>
  </si>
  <si>
    <t>上报轮径校准值为850mm</t>
  </si>
  <si>
    <t>TC2端本次校轮值（tc2WheelValue）</t>
  </si>
  <si>
    <t>TC2端未进行校轮值</t>
  </si>
  <si>
    <t>TC2端进行本次校轮值</t>
  </si>
  <si>
    <t>车载设备报警信息帧（小型化二乘二取二）</t>
  </si>
  <si>
    <r>
      <rPr>
        <sz val="10.5"/>
        <color theme="1"/>
        <rFont val="Times New Roman"/>
        <charset val="134"/>
      </rPr>
      <t>TC1</t>
    </r>
    <r>
      <rPr>
        <sz val="10.5"/>
        <color theme="1"/>
        <rFont val="宋体"/>
        <charset val="134"/>
      </rPr>
      <t>输入板</t>
    </r>
    <r>
      <rPr>
        <sz val="10.5"/>
        <color theme="1"/>
        <rFont val="Times New Roman"/>
        <charset val="134"/>
      </rPr>
      <t>A</t>
    </r>
    <r>
      <rPr>
        <sz val="10.5"/>
        <color theme="1"/>
        <rFont val="宋体"/>
        <charset val="134"/>
      </rPr>
      <t>系</t>
    </r>
    <r>
      <rPr>
        <sz val="10.5"/>
        <color theme="1"/>
        <rFont val="Times New Roman"/>
        <charset val="134"/>
      </rPr>
      <t>CPU1</t>
    </r>
    <r>
      <rPr>
        <sz val="10.5"/>
        <color theme="1"/>
        <rFont val="宋体"/>
        <charset val="134"/>
      </rPr>
      <t>温度</t>
    </r>
  </si>
  <si>
    <t>TC1输入板A系CPU1温度小于70℃</t>
  </si>
  <si>
    <t>发送报文  0x32</t>
  </si>
  <si>
    <t>未生成告警-显示TC1输入板A系CPU1温度小于50℃</t>
  </si>
  <si>
    <t>TC1输入板A系CPU1温度等于70℃</t>
  </si>
  <si>
    <t>发送报文  0x46</t>
  </si>
  <si>
    <t>生成告警-显示TC1输入板A系CPU1温度等于70℃
告警内容：XX车TC1输入板A系CPU1温度预警；
报警等级：预警
报警原因：机柜散热异常
报警影响：板卡可能宕机；影响板卡使用寿命。
处置建议：列车回库后，检查风扇等机柜散热设备状态，并拷取对应板卡日志进行分析；</t>
  </si>
  <si>
    <t>TC1输入板A系CPU1温度大于70℃小于80℃</t>
  </si>
  <si>
    <t>发送报文  0x4C</t>
  </si>
  <si>
    <t>生成告警-显示TC1输入板A系CPU1温度等于76℃
告警内容：XX车TC1输入板A系CPU1温度预警；
报警等级：预警
报警原因：机柜散热异常
报警影响：板卡可能宕机；影响板卡使用寿命。
处置建议：列车回库后，检查风扇等机柜散热设备状态，并拷取对应板卡日志进行分析；</t>
  </si>
  <si>
    <t>TC1输入板A系CPU1温度等于80℃</t>
  </si>
  <si>
    <t>发送报文  0x50</t>
  </si>
  <si>
    <t>生成告警-显示TC1输入板A系CPU1温度等于80℃
告警内容：XX车TC1输入板A系CPU1温度异常报警；
报警等级：1级报警
报警原因：机柜散热异常
报警影响：板卡可能宕机；影响板卡使用寿命。
处置建议：列车尽快下线，检查风扇等机柜散热设备状态，并拷取对应板卡日志进行分析。</t>
  </si>
  <si>
    <t>TC1输入板A系CPU1温度大于80℃</t>
  </si>
  <si>
    <t>发送报文  0x5A</t>
  </si>
  <si>
    <t>生成告警-显示TC1输入板A系CPU1温度等于90℃
告警内容：XX车TC1输入板A系CPU1温度异常报警；
报警等级：1级报警
报警原因：机柜散热异常
报警影响：板卡可能宕机；影响板卡使用寿命。
处置建议：列车尽快下线，检查风扇等机柜散热设备状态，并拷取对应板卡日志进行分析。</t>
  </si>
  <si>
    <r>
      <rPr>
        <sz val="10.5"/>
        <color theme="1"/>
        <rFont val="Times New Roman"/>
        <charset val="134"/>
      </rPr>
      <t>TC1</t>
    </r>
    <r>
      <rPr>
        <sz val="10.5"/>
        <color theme="1"/>
        <rFont val="宋体"/>
        <charset val="134"/>
      </rPr>
      <t>输入板</t>
    </r>
    <r>
      <rPr>
        <sz val="10.5"/>
        <color theme="1"/>
        <rFont val="Times New Roman"/>
        <charset val="134"/>
      </rPr>
      <t>A</t>
    </r>
    <r>
      <rPr>
        <sz val="10.5"/>
        <color theme="1"/>
        <rFont val="宋体"/>
        <charset val="134"/>
      </rPr>
      <t>系</t>
    </r>
    <r>
      <rPr>
        <sz val="10.5"/>
        <color theme="1"/>
        <rFont val="Times New Roman"/>
        <charset val="134"/>
      </rPr>
      <t>CPU2</t>
    </r>
    <r>
      <rPr>
        <sz val="10.5"/>
        <color theme="1"/>
        <rFont val="宋体"/>
        <charset val="134"/>
      </rPr>
      <t>温度</t>
    </r>
  </si>
  <si>
    <t>未生成告警-显示TC1输入板A系CPU2温度小于50℃</t>
  </si>
  <si>
    <t>TC1输入板A系CPU2温度等于70℃</t>
  </si>
  <si>
    <t>生成告警-显示TC1输入板A系CPU2温度等于70℃
告警内容：XX车TC1输入板A系CPU2温度预警；
报警等级：预警
报警原因：机柜散热异常
报警影响：板卡可能宕机；影响板卡使用寿命。
处置建议：列车回库后，检查风扇等机柜散热设备状态，并拷取对应板卡日志进行分析；</t>
  </si>
  <si>
    <t>TC1输入板A系CPU2温度大于70℃小于80℃</t>
  </si>
  <si>
    <t>生成告警-显示TC1输入板A系CPU2温度等于76℃
告警内容：XX车TC1输入板A系CPU2温度预警；
报警等级：预警
报警原因：机柜散热异常
报警影响：板卡可能宕机；影响板卡使用寿命。
处置建议：列车回库后，检查风扇等机柜散热设备状态，并拷取对应板卡日志进行分析；</t>
  </si>
  <si>
    <t>TC1输入板A系CPU2温度等于80℃</t>
  </si>
  <si>
    <t>生成告警-显示TC1输入板A系CPU2温度等于80℃
告警内容：XX车TC1输入板A系CPU2温度异常报警；
报警等级：1级报警
报警原因：机柜散热异常
报警影响：板卡可能宕机；影响板卡使用寿命。
处置建议：列车尽快下线，检查风扇等机柜散热设备状态，并拷取对应板卡日志进行分析。</t>
  </si>
  <si>
    <t>TC1输入板A系CPU2温度大于80℃</t>
  </si>
  <si>
    <t>生成告警-显示TC1输入板A系CPU2温度等于90℃
告警内容：XX车TC1输入板A系CPU2温度异常报警；
报警等级：1级报警
报警原因：机柜散热异常
报警影响：板卡可能宕机；影响板卡使用寿命。
处置建议：列车尽快下线，检查风扇等机柜散热设备状态，并拷取对应板卡日志进行分析。</t>
  </si>
  <si>
    <t>TC1输入板B系CPU1温度</t>
  </si>
  <si>
    <t>TC1输入板B系CPU1温度小于70℃</t>
  </si>
  <si>
    <t>未生成告警-显示TC1输入板B系CPU1温度小于50℃</t>
  </si>
  <si>
    <t>TC1输入板B系CPU1温度等于70℃</t>
  </si>
  <si>
    <t>生成告警-显示TC1输入板B系CPU1温度等于70℃
告警内容：XX车TC1输入板B系CPU1温度预警；
报警等级：预警
报警原因：机柜散热异常
报警影响：板卡可能宕机；影响板卡使用寿命。
处置建议：列车回库后，检查风扇等机柜散热设备状态，并拷取对应板卡日志进行分析；</t>
  </si>
  <si>
    <t>TC1输入板B系CPU1温度大于70℃小于80℃</t>
  </si>
  <si>
    <t>生成告警-显示TC1输入板B系CPU1温度等于76℃
告警内容：XX车TC1输入板B系CPU1温度预警；
报警等级：预警
报警原因：机柜散热异常
报警影响：板卡可能宕机；影响板卡使用寿命。
处置建议：列车回库后，检查风扇等机柜散热设备状态，并拷取对应板卡日志进行分析；</t>
  </si>
  <si>
    <t>TC1输入板B系CPU1温度等于80℃</t>
  </si>
  <si>
    <t>生成告警-显示TC1输入板B系CPU1温度等于80℃
告警内容：XX车TC1输入板B系CPU1温度异常报警；
报警等级：1级报警
报警原因：机柜散热异常
报警影响：板卡可能宕机；影响板卡使用寿命。
处置建议：列车尽快下线，检查风扇等机柜散热设备状态，并拷取对应板卡日志进行分析。</t>
  </si>
  <si>
    <t>TC1输入板B系CPU1温度大于80℃</t>
  </si>
  <si>
    <t>生成告警-显示TC1输入板B系CPU1温度等于90℃
告警内容：XX车TC1输入板B系CPU1温度异常报警；
报警等级：1级报警
报警原因：机柜散热异常
报警影响：板卡可能宕机；影响板卡使用寿命。
处置建议：列车尽快下线，检查风扇等机柜散热设备状态，并拷取对应板卡日志进行分析。</t>
  </si>
  <si>
    <t>TC1输入板B系CPU2温度</t>
  </si>
  <si>
    <t>未生成告警-显示TC1输入板B系CPU2温度小于50℃</t>
  </si>
  <si>
    <t>TC1输入板B系CPU2温度等于70℃</t>
  </si>
  <si>
    <t>生成告警-显示TC1输入板B系CPU2温度等于70℃
告警内容：XX车TC1输入板B系CPU2温度预警；
报警等级：预警
报警原因：机柜散热异常
报警影响：板卡可能宕机；影响板卡使用寿命。
处置建议：列车回库后，检查风扇等机柜散热设备状态，并拷取对应板卡日志进行分析；</t>
  </si>
  <si>
    <t>TC1输入板B系CPU2温度大于70℃小于80℃</t>
  </si>
  <si>
    <t>生成告警-显示TC1输入板B系CPU2温度等于76℃
告警内容：XX车TC1输入板B系CPU2温度预警；
报警等级：预警
报警原因：机柜散热异常
报警影响：板卡可能宕机；影响板卡使用寿命。
处置建议：列车回库后，检查风扇等机柜散热设备状态，并拷取对应板卡日志进行分析；</t>
  </si>
  <si>
    <t>TC1输入板B系CPU2温度等于80℃</t>
  </si>
  <si>
    <t>生成告警-显示TC1输入板B系CPU2温度等于80℃
告警内容：XX车TC1输入板B系CPU2温度异常报警；
报警等级：1级报警
报警原因：机柜散热异常
报警影响：板卡可能宕机；影响板卡使用寿命。
处置建议：列车尽快下线，检查风扇等机柜散热设备状态，并拷取对应板卡日志进行分析。</t>
  </si>
  <si>
    <t>TC1输入板B系CPU2温度大于80℃</t>
  </si>
  <si>
    <t>生成告警-显示TC1输入板B系CPU2温度等于90℃
告警内容：XX车TC1输入板B系CPU2温度异常报警；
报警等级：1级报警
报警原因：机柜散热异常
报警影响：板卡可能宕机；影响板卡使用寿命。
处置建议：列车尽快下线，检查风扇等机柜散热设备状态，并拷取对应板卡日志进行分析。</t>
  </si>
  <si>
    <t>TC1输出板A系CPU1温度</t>
  </si>
  <si>
    <t>TC1输出板A系CPU1温度小于70℃</t>
  </si>
  <si>
    <t>未生成告警-显示TC1输出板A系CPU1温度小于50℃</t>
  </si>
  <si>
    <t>TC1输出板A系CPU1温度等于70℃</t>
  </si>
  <si>
    <t>生成告警-显示TC1输出板A系CPU1温度等于70℃
告警内容：XX车TC1输出板A系CPU1温度预警；
报警等级：预警
报警原因：机柜散热异常
报警影响：板卡可能宕机；影响板卡使用寿命。
处置建议：列车回库后，检查风扇等机柜散热设备状态，并拷取对应板卡日志进行分析；</t>
  </si>
  <si>
    <t>TC1输出板A系CPU1温度大于70℃小于80℃</t>
  </si>
  <si>
    <t>生成告警-显示TC1输出板A系CPU1温度等于76℃
告警内容：XX车TC1输出板A系CPU1温度预警；
报警等级：预警
报警原因：机柜散热异常
报警影响：板卡可能宕机；影响板卡使用寿命。
处置建议：列车回库后，检查风扇等机柜散热设备状态，并拷取对应板卡日志进行分析；</t>
  </si>
  <si>
    <t>TC1输出板A系CPU1温度等于80℃</t>
  </si>
  <si>
    <t>生成告警-显示TC1输出板A系CPU1温度等于80℃
告警内容：XX车TC1输出板A系CPU1温度异常报警；
报警等级：1级报警
报警原因：机柜散热异常
报警影响：板卡可能宕机；影响板卡使用寿命。
处置建议：列车尽快下线，检查风扇等机柜散热设备状态，并拷取对应板卡日志进行分析。</t>
  </si>
  <si>
    <t>TC1输出板A系CPU1温度大于80℃</t>
  </si>
  <si>
    <t>生成告警-显示TC1输出板A系CPU1温度等于90℃
告警内容：XX车TC1输出板A系CPU1温度异常报警；
报警等级：1级报警
报警原因：机柜散热异常
报警影响：板卡可能宕机；影响板卡使用寿命。
处置建议：列车尽快下线，检查风扇等机柜散热设备状态，并拷取对应板卡日志进行分析。</t>
  </si>
  <si>
    <t>TC1输出板A系CPU2温度</t>
  </si>
  <si>
    <t>未生成告警-显示TC1输出板A系CPU2温度小于50℃</t>
  </si>
  <si>
    <t>TC1输出板A系CPU2温度等于70℃</t>
  </si>
  <si>
    <t>生成告警-显示TC1输出板A系CPU2温度等于70℃
告警内容：XX车TC1输出板A系CPU2温度预警；
报警等级：预警
报警原因：机柜散热异常
报警影响：板卡可能宕机；影响板卡使用寿命。
处置建议：列车回库后，检查风扇等机柜散热设备状态，并拷取对应板卡日志进行分析；</t>
  </si>
  <si>
    <t>TC1输出板A系CPU2温度大于70℃小于80℃</t>
  </si>
  <si>
    <t>生成告警-显示TC1输出板A系CPU2温度等于76℃
告警内容：XX车TC1输出板A系CPU2温度预警；
报警等级：预警
报警原因：机柜散热异常
报警影响：板卡可能宕机；影响板卡使用寿命。
处置建议：列车回库后，检查风扇等机柜散热设备状态，并拷取对应板卡日志进行分析；</t>
  </si>
  <si>
    <t>TC1输出板A系CPU2温度等于80℃</t>
  </si>
  <si>
    <t>生成告警-显示TC1输出板A系CPU2温度等于80℃
告警内容：XX车TC1输出板A系CPU2温度异常报警；
报警等级：1级报警
报警原因：机柜散热异常
报警影响：板卡可能宕机；影响板卡使用寿命。
处置建议：列车尽快下线，检查风扇等机柜散热设备状态，并拷取对应板卡日志进行分析。</t>
  </si>
  <si>
    <t>TC1输出板A系CPU2温度大于80℃</t>
  </si>
  <si>
    <t>生成告警-显示TC1输出板A系CPU2温度等于90℃
告警内容：XX车TC1输出板A系CPU2温度异常报警；
报警等级：1级报警
报警原因：机柜散热异常
报警影响：板卡可能宕机；影响板卡使用寿命。
处置建议：列车尽快下线，检查风扇等机柜散热设备状态，并拷取对应板卡日志进行分析。</t>
  </si>
  <si>
    <t>TC1输出板B系CPU1温度</t>
  </si>
  <si>
    <t>TC1输出板B系CPU1温度小于70℃</t>
  </si>
  <si>
    <t>未生成告警-显示TC1输出板B系CPU1温度小于50℃</t>
  </si>
  <si>
    <t>TC1输出板B系CPU1温度等于70℃</t>
  </si>
  <si>
    <t>生成告警-显示TC1输出板B系CPU1温度等于70℃
告警内容：XX车TC1输出板B系CPU1温度预警；
报警等级：预警
报警原因：机柜散热异常
报警影响：板卡可能宕机；影响板卡使用寿命。
处置建议：列车回库后，检查风扇等机柜散热设备状态，并拷取对应板卡日志进行分析；</t>
  </si>
  <si>
    <t>TC1输出板B系CPU1温度大于70℃小于80℃</t>
  </si>
  <si>
    <t>生成告警-显示TC1输出板B系CPU1温度等于76℃
告警内容：XX车TC1输出板B系CPU1温度预警；
报警等级：预警
报警原因：机柜散热异常
报警影响：板卡可能宕机；影响板卡使用寿命。
处置建议：列车回库后，检查风扇等机柜散热设备状态，并拷取对应板卡日志进行分析；</t>
  </si>
  <si>
    <t>TC1输出板B系CPU1温度等于80℃</t>
  </si>
  <si>
    <t>生成告警-显示TC1输出板B系CPU1温度等于80℃
告警内容：XX车TC1输出板B系CPU1温度异常报警；
报警等级：1级报警
报警原因：机柜散热异常
报警影响：板卡可能宕机；影响板卡使用寿命。
处置建议：列车尽快下线，检查风扇等机柜散热设备状态，并拷取对应板卡日志进行分析。</t>
  </si>
  <si>
    <t>TC1输出板B系CPU1温度大于80℃</t>
  </si>
  <si>
    <t>生成告警-显示TC1输出板B系CPU1温度等于90℃
告警内容：XX车TC1输出板B系CPU1温度异常报警；
报警等级：1级报警
报警原因：机柜散热异常
报警影响：板卡可能宕机；影响板卡使用寿命。
处置建议：列车尽快下线，检查风扇等机柜散热设备状态，并拷取对应板卡日志进行分析。</t>
  </si>
  <si>
    <t>TC1输出板B系CPU2温度</t>
  </si>
  <si>
    <t>未生成告警-显示TC1输出板B系CPU2温度小于50℃</t>
  </si>
  <si>
    <t>TC1输出板B系CPU2温度等于70℃</t>
  </si>
  <si>
    <t>生成告警-显示TC1输出板B系CPU2温度等于70℃
告警内容：XX车TC1输出板B系CPU2温度预警；
报警等级：预警
报警原因：机柜散热异常
报警影响：板卡可能宕机；影响板卡使用寿命。
处置建议：列车回库后，检查风扇等机柜散热设备状态，并拷取对应板卡日志进行分析；</t>
  </si>
  <si>
    <t>TC1输出板B系CPU2温度大于70℃小于80℃</t>
  </si>
  <si>
    <t>生成告警-显示TC1输出板B系CPU2温度等于76℃
告警内容：XX车TC1输出板B系CPU2温度预警；
报警等级：预警
报警原因：机柜散热异常
报警影响：板卡可能宕机；影响板卡使用寿命。
处置建议：列车回库后，检查风扇等机柜散热设备状态，并拷取对应板卡日志进行分析；</t>
  </si>
  <si>
    <t>TC1输出板B系CPU2温度等于80℃</t>
  </si>
  <si>
    <t>生成告警-显示TC1输出板B系CPU2温度等于80℃
告警内容：XX车TC1输出板B系CPU2温度异常报警；
报警等级：1级报警
报警原因：机柜散热异常
报警影响：板卡可能宕机；影响板卡使用寿命。
处置建议：列车尽快下线，检查风扇等机柜散热设备状态，并拷取对应板卡日志进行分析。</t>
  </si>
  <si>
    <t>TC1输出板B系CPU2温度大于80℃</t>
  </si>
  <si>
    <t>生成告警-显示TC1输出板B系CPU2温度等于90℃
告警内容：XX车TC1输出板B系CPU2温度异常报警；
报警等级：1级报警
报警原因：机柜散热异常
报警影响：板卡可能宕机；影响板卡使用寿命。
处置建议：列车尽快下线，检查风扇等机柜散热设备状态，并拷取对应板卡日志进行分析。</t>
  </si>
  <si>
    <t>TC1信号板A系CPU1温度</t>
  </si>
  <si>
    <t>TC1信号板A系CPU1温度小于70℃</t>
  </si>
  <si>
    <t>未生成告警-显示TC1信号板A系CPU1温度小于50℃</t>
  </si>
  <si>
    <t>TC1信号板A系CPU1温度等于70℃</t>
  </si>
  <si>
    <t>生成告警-显示TC1信号板A系CPU1温度等于70℃
告警内容：XX车TC1信号板A系CPU1温度预警；
报警等级：预警
报警原因：机柜散热异常
报警影响：板卡可能宕机；影响板卡使用寿命。
处置建议：列车回库后，检查风扇等机柜散热设备状态，并拷取对应板卡日志进行分析；</t>
  </si>
  <si>
    <t>TC1信号板A系CPU1温度大于70℃小于80℃</t>
  </si>
  <si>
    <t>生成告警-显示TC1信号板A系CPU1温度等于76℃
告警内容：XX车TC1信号板A系CPU1温度预警；
报警等级：预警
报警原因：机柜散热异常
报警影响：板卡可能宕机；影响板卡使用寿命。
处置建议：列车回库后，检查风扇等机柜散热设备状态，并拷取对应板卡日志进行分析；</t>
  </si>
  <si>
    <t>TC1信号板A系CPU1温度等于80℃</t>
  </si>
  <si>
    <t>生成告警-显示TC1信号板A系CPU1温度等于80℃
告警内容：XX车TC1信号板A系CPU1温度异常报警；
报警等级：1级报警
报警原因：机柜散热异常
报警影响：板卡可能宕机；影响板卡使用寿命。
处置建议：列车尽快下线，检查风扇等机柜散热设备状态，并拷取对应板卡日志进行分析。</t>
  </si>
  <si>
    <t>TC1信号板A系CPU1温度大于80℃</t>
  </si>
  <si>
    <t>生成告警-显示TC1信号板A系CPU1温度等于90℃
告警内容：XX车TC1信号板A系CPU1温度异常报警；
报警等级：1级报警
报警原因：机柜散热异常
报警影响：板卡可能宕机；影响板卡使用寿命。
处置建议：列车尽快下线，检查风扇等机柜散热设备状态，并拷取对应板卡日志进行分析。</t>
  </si>
  <si>
    <t>TC1信号板A系CPU2温度</t>
  </si>
  <si>
    <t>未生成告警-显示TC1信号板A系CPU2温度小于50℃</t>
  </si>
  <si>
    <t>TC1信号板A系CPU2温度等于70℃</t>
  </si>
  <si>
    <t>生成告警-显示TC1信号板A系CPU2温度等于70℃
告警内容：XX车TC1信号板A系CPU2温度预警；
报警等级：预警
报警原因：机柜散热异常
报警影响：板卡可能宕机；影响板卡使用寿命。
处置建议：列车回库后，检查风扇等机柜散热设备状态，并拷取对应板卡日志进行分析；</t>
  </si>
  <si>
    <t>TC1信号板A系CPU2温度大于70℃小于80℃</t>
  </si>
  <si>
    <t>生成告警-显示TC1信号板A系CPU2温度等于76℃
告警内容：XX车TC1信号板A系CPU2温度预警；
报警等级：预警
报警原因：机柜散热异常
报警影响：板卡可能宕机；影响板卡使用寿命。
处置建议：列车回库后，检查风扇等机柜散热设备状态，并拷取对应板卡日志进行分析；</t>
  </si>
  <si>
    <t>TC1信号板A系CPU2温度等于80℃</t>
  </si>
  <si>
    <t>生成告警-显示TC1信号板A系CPU2温度等于80℃
告警内容：XX车TC1信号板A系CPU2温度异常报警；
报警等级：1级报警
报警原因：机柜散热异常
报警影响：板卡可能宕机；影响板卡使用寿命。
处置建议：列车尽快下线，检查风扇等机柜散热设备状态，并拷取对应板卡日志进行分析。</t>
  </si>
  <si>
    <t>TC1信号板A系CPU2温度大于80℃</t>
  </si>
  <si>
    <t>生成告警-显示TC1信号板A系CPU2温度等于90℃
告警内容：XX车TC1信号板A系CPU2温度异常报警；
报警等级：1级报警
报警原因：机柜散热异常
报警影响：板卡可能宕机；影响板卡使用寿命。
处置建议：列车尽快下线，检查风扇等机柜散热设备状态，并拷取对应板卡日志进行分析。</t>
  </si>
  <si>
    <t>TC1信号板B系CPU1温度</t>
  </si>
  <si>
    <t>TC1信号板B系CPU1温度小于70℃</t>
  </si>
  <si>
    <t>未生成告警-显示TC1信号板B系CPU1温度小于50℃</t>
  </si>
  <si>
    <t>TC1信号板B系CPU1温度等于70℃</t>
  </si>
  <si>
    <t>生成告警-显示TC1信号板B系CPU1温度等于70℃
告警内容：XX车TC1信号板B系CPU1温度预警；
报警等级：预警
报警原因：机柜散热异常
报警影响：板卡可能宕机；影响板卡使用寿命。
处置建议：列车回库后，检查风扇等机柜散热设备状态，并拷取对应板卡日志进行分析；</t>
  </si>
  <si>
    <t>TC1信号板B系CPU1温度大于70℃小于80℃</t>
  </si>
  <si>
    <t>生成告警-显示TC1信号板B系CPU1温度等于76℃
告警内容：XX车TC1信号板B系CPU1温度预警；
报警等级：预警
报警原因：机柜散热异常
报警影响：板卡可能宕机；影响板卡使用寿命。
处置建议：列车回库后，检查风扇等机柜散热设备状态，并拷取对应板卡日志进行分析；</t>
  </si>
  <si>
    <t>TC1信号板B系CPU1温度等于80℃</t>
  </si>
  <si>
    <t>生成告警-显示TC1信号板B系CPU1温度等于80℃
告警内容：XX车TC1信号板B系CPU1温度异常报警；
报警等级：1级报警
报警原因：机柜散热异常
报警影响：板卡可能宕机；影响板卡使用寿命。
处置建议：列车尽快下线，检查风扇等机柜散热设备状态，并拷取对应板卡日志进行分析。</t>
  </si>
  <si>
    <t>TC1信号板B系CPU1温度大于80℃</t>
  </si>
  <si>
    <t>生成告警-显示TC1信号板B系CPU1温度等于90℃
告警内容：XX车TC1信号板B系CPU1温度异常报警；
报警等级：1级报警
报警原因：机柜散热异常
报警影响：板卡可能宕机；影响板卡使用寿命。
处置建议：列车尽快下线，检查风扇等机柜散热设备状态，并拷取对应板卡日志进行分析。</t>
  </si>
  <si>
    <t>TC1信号板B系CPU2温度</t>
  </si>
  <si>
    <t>未生成告警-显示TC1信号板B系CPU2温度小于50℃</t>
  </si>
  <si>
    <t>TC1信号板B系CPU2温度等于70℃</t>
  </si>
  <si>
    <t>生成告警-显示TC1信号板B系CPU2温度等于70℃
告警内容：XX车TC1信号板B系CPU2温度预警；
报警等级：预警
报警原因：机柜散热异常
报警影响：板卡可能宕机；影响板卡使用寿命。
处置建议：列车回库后，检查风扇等机柜散热设备状态，并拷取对应板卡日志进行分析；</t>
  </si>
  <si>
    <t>TC1信号板B系CPU2温度大于70℃小于80℃</t>
  </si>
  <si>
    <t>生成告警-显示TC1信号板B系CPU2温度等于76℃
告警内容：XX车TC1信号板B系CPU2温度预警；
报警等级：预警
报警原因：机柜散热异常
报警影响：板卡可能宕机；影响板卡使用寿命。
处置建议：列车回库后，检查风扇等机柜散热设备状态，并拷取对应板卡日志进行分析；</t>
  </si>
  <si>
    <t>TC1信号板B系CPU2温度等于80℃</t>
  </si>
  <si>
    <t>生成告警-显示TC1信号板B系CPU2温度等于80℃
告警内容：XX车TC1信号板B系CPU2温度异常报警；
报警等级：1级报警
报警原因：机柜散热异常
报警影响：板卡可能宕机；影响板卡使用寿命。
处置建议：列车尽快下线，检查风扇等机柜散热设备状态，并拷取对应板卡日志进行分析。</t>
  </si>
  <si>
    <t>TC1信号板B系CPU2温度大于80℃</t>
  </si>
  <si>
    <t>生成告警-显示TC1信号板B系CPU2温度等于90℃
告警内容：XX车TC1信号板B系CPU2温度异常报警；
报警等级：1级报警
报警原因：机柜散热异常
报警影响：板卡可能宕机；影响板卡使用寿命。
处置建议：列车尽快下线，检查风扇等机柜散热设备状态，并拷取对应板卡日志进行分析。</t>
  </si>
  <si>
    <t>TC2输入板A系CPU1温度</t>
  </si>
  <si>
    <t>TC2输入板A系CPU1温度小于70℃</t>
  </si>
  <si>
    <t>未生成告警-显示TC2输入板A系CPU1温度小于50℃</t>
  </si>
  <si>
    <t>TC2输入板A系CPU1温度等于70℃</t>
  </si>
  <si>
    <t>生成告警-显示TC2输入板A系CPU1温度等于70℃
告警内容：XX车TC2输入板A系CPU1温度预警；
报警等级：预警
报警原因：机柜散热异常
报警影响：板卡可能宕机；影响板卡使用寿命。
处置建议：列车回库后，检查风扇等机柜散热设备状态，并拷取对应板卡日志进行分析；</t>
  </si>
  <si>
    <t>TC2输入板A系CPU1温度大于70℃小于80℃</t>
  </si>
  <si>
    <t>生成告警-显示TC2输入板A系CPU1温度等于76℃
告警内容：XX车TC2输入板A系CPU1温度预警；
报警等级：预警
报警原因：机柜散热异常
报警影响：板卡可能宕机；影响板卡使用寿命。
处置建议：列车回库后，检查风扇等机柜散热设备状态，并拷取对应板卡日志进行分析；</t>
  </si>
  <si>
    <t>TC2输入板A系CPU1温度等于80℃</t>
  </si>
  <si>
    <t>生成告警-显示TC2输入板A系CPU1温度等于80℃
告警内容：XX车TC2输入板A系CPU1温度异常报警；
报警等级：1级报警
报警原因：机柜散热异常
报警影响：板卡可能宕机；影响板卡使用寿命。
处置建议：列车尽快下线，检查风扇等机柜散热设备状态，并拷取对应板卡日志进行分析。</t>
  </si>
  <si>
    <t>TC2输入板A系CPU1温度大于80℃</t>
  </si>
  <si>
    <t>生成告警-显示TC2输入板A系CPU1温度等于90℃
告警内容：XX车TC2输入板A系CPU1温度异常报警；
报警等级：1级报警
报警原因：机柜散热异常
报警影响：板卡可能宕机；影响板卡使用寿命。
处置建议：列车尽快下线，检查风扇等机柜散热设备状态，并拷取对应板卡日志进行分析。</t>
  </si>
  <si>
    <t>TC2输入板A系CPU2温度</t>
  </si>
  <si>
    <t>未生成告警-显示TC2输入板A系CPU2温度小于50℃</t>
  </si>
  <si>
    <t>TC2输入板A系CPU2温度等于70℃</t>
  </si>
  <si>
    <t>生成告警-显示TC2输入板A系CPU2温度等于70℃
告警内容：XX车TC2输入板A系CPU2温度预警；
报警等级：预警
报警原因：机柜散热异常
报警影响：板卡可能宕机；影响板卡使用寿命。
处置建议：列车回库后，检查风扇等机柜散热设备状态，并拷取对应板卡日志进行分析；</t>
  </si>
  <si>
    <t>TC2输入板A系CPU2温度大于70℃小于80℃</t>
  </si>
  <si>
    <t>生成告警-显示TC2输入板A系CPU2温度等于76℃
告警内容：XX车TC2输入板A系CPU2温度预警；
报警等级：预警
报警原因：机柜散热异常
报警影响：板卡可能宕机；影响板卡使用寿命。
处置建议：列车回库后，检查风扇等机柜散热设备状态，并拷取对应板卡日志进行分析；</t>
  </si>
  <si>
    <t>TC2输入板A系CPU2温度等于80℃</t>
  </si>
  <si>
    <t>生成告警-显示TC2输入板A系CPU2温度等于80℃
告警内容：XX车TC2输入板A系CPU2温度异常报警；
报警等级：1级报警
报警原因：机柜散热异常
报警影响：板卡可能宕机；影响板卡使用寿命。
处置建议：列车尽快下线，检查风扇等机柜散热设备状态，并拷取对应板卡日志进行分析。</t>
  </si>
  <si>
    <t>TC2输入板A系CPU2温度大于80℃</t>
  </si>
  <si>
    <t>生成告警-显示TC2输入板A系CPU2温度等于90℃
告警内容：XX车TC2输入板A系CPU2温度异常报警；
报警等级：1级报警
报警原因：机柜散热异常
报警影响：板卡可能宕机；影响板卡使用寿命。
处置建议：列车尽快下线，检查风扇等机柜散热设备状态，并拷取对应板卡日志进行分析。</t>
  </si>
  <si>
    <t>TC2输入板B系CPU1温度</t>
  </si>
  <si>
    <t>TC2输入板B系CPU1温度小于70℃</t>
  </si>
  <si>
    <t>未生成告警-显示TC2输入板B系CPU1温度小于50℃</t>
  </si>
  <si>
    <t>TC2输入板B系CPU1温度等于70℃</t>
  </si>
  <si>
    <t>生成告警-显示TC2输入板B系CPU1温度等于70℃
告警内容：XX车TC2输入板B系CPU1温度预警；
报警等级：预警
报警原因：机柜散热异常
报警影响：板卡可能宕机；影响板卡使用寿命。
处置建议：列车回库后，检查风扇等机柜散热设备状态，并拷取对应板卡日志进行分析；</t>
  </si>
  <si>
    <t>TC2输入板B系CPU1温度大于70℃小于80℃</t>
  </si>
  <si>
    <t>生成告警-显示TC2输入板B系CPU1温度等于76℃
告警内容：XX车TC2输入板B系CPU1温度预警；
报警等级：预警
报警原因：机柜散热异常
报警影响：板卡可能宕机；影响板卡使用寿命。
处置建议：列车回库后，检查风扇等机柜散热设备状态，并拷取对应板卡日志进行分析；</t>
  </si>
  <si>
    <t>TC2输入板B系CPU1温度等于80℃</t>
  </si>
  <si>
    <t>生成告警-显示TC2输入板B系CPU1温度等于80℃
告警内容：XX车TC2输入板B系CPU1温度异常报警；
报警等级：1级报警
报警原因：机柜散热异常
报警影响：板卡可能宕机；影响板卡使用寿命。
处置建议：列车尽快下线，检查风扇等机柜散热设备状态，并拷取对应板卡日志进行分析。</t>
  </si>
  <si>
    <t>TC2输入板B系CPU1温度大于80℃</t>
  </si>
  <si>
    <t>生成告警-显示TC2输入板B系CPU1温度等于90℃
告警内容：XX车TC2输入板B系CPU1温度异常报警；
报警等级：1级报警
报警原因：机柜散热异常
报警影响：板卡可能宕机；影响板卡使用寿命。
处置建议：列车尽快下线，检查风扇等机柜散热设备状态，并拷取对应板卡日志进行分析。</t>
  </si>
  <si>
    <t>TC2输入板B系CPU2温度</t>
  </si>
  <si>
    <t>未生成告警-显示TC2输入板B系CPU2温度小于50℃</t>
  </si>
  <si>
    <t>TC2输入板B系CPU2温度等于70℃</t>
  </si>
  <si>
    <t>生成告警-显示TC2输入板B系CPU2温度等于70℃
告警内容：XX车TC2输入板B系CPU2温度预警；
报警等级：预警
报警原因：机柜散热异常
报警影响：板卡可能宕机；影响板卡使用寿命。
处置建议：列车回库后，检查风扇等机柜散热设备状态，并拷取对应板卡日志进行分析；</t>
  </si>
  <si>
    <t>TC2输入板B系CPU2温度大于70℃小于80℃</t>
  </si>
  <si>
    <t>生成告警-显示TC2输入板B系CPU2温度等于76℃
告警内容：XX车TC2输入板B系CPU2温度预警；
报警等级：预警
报警原因：机柜散热异常
报警影响：板卡可能宕机；影响板卡使用寿命。
处置建议：列车回库后，检查风扇等机柜散热设备状态，并拷取对应板卡日志进行分析；</t>
  </si>
  <si>
    <t>TC2输入板B系CPU2温度等于80℃</t>
  </si>
  <si>
    <t>生成告警-显示TC2输入板B系CPU2温度等于80℃
告警内容：XX车TC2输入板B系CPU2温度异常报警；
报警等级：1级报警
报警原因：机柜散热异常
报警影响：板卡可能宕机；影响板卡使用寿命。
处置建议：列车尽快下线，检查风扇等机柜散热设备状态，并拷取对应板卡日志进行分析。</t>
  </si>
  <si>
    <t>TC2输入板B系CPU2温度大于80℃</t>
  </si>
  <si>
    <t>生成告警-显示TC2输入板B系CPU2温度等于90℃
告警内容：XX车TC2输入板B系CPU2温度异常报警；
报警等级：1级报警
报警原因：机柜散热异常
报警影响：板卡可能宕机；影响板卡使用寿命。
处置建议：列车尽快下线，检查风扇等机柜散热设备状态，并拷取对应板卡日志进行分析。</t>
  </si>
  <si>
    <t>TC2输出板A系CPU1温度</t>
  </si>
  <si>
    <t>TC2输出板A系CPU1温度小于70℃</t>
  </si>
  <si>
    <t>未生成告警-显示TC2输出板A系CPU1温度小于50℃</t>
  </si>
  <si>
    <t>TC2输出板A系CPU1温度等于70℃</t>
  </si>
  <si>
    <t>生成告警-显示TC2输出板A系CPU1温度等于70℃
告警内容：XX车TC2输出板A系CPU1温度预警；
报警等级：预警
报警原因：机柜散热异常
报警影响：板卡可能宕机；影响板卡使用寿命。
处置建议：列车回库后，检查风扇等机柜散热设备状态，并拷取对应板卡日志进行分析；</t>
  </si>
  <si>
    <t>TC2输出板A系CPU1温度大于70℃小于80℃</t>
  </si>
  <si>
    <t>生成告警-显示TC2输出板A系CPU1温度等于76℃
告警内容：XX车TC2输出板A系CPU1温度预警；
报警等级：预警
报警原因：机柜散热异常
报警影响：板卡可能宕机；影响板卡使用寿命。
处置建议：列车回库后，检查风扇等机柜散热设备状态，并拷取对应板卡日志进行分析；</t>
  </si>
  <si>
    <t>TC2输出板A系CPU1温度等于80℃</t>
  </si>
  <si>
    <t>生成告警-显示TC2输出板A系CPU1温度等于80℃
告警内容：XX车TC2输出板A系CPU1温度异常报警；
报警等级：1级报警
报警原因：机柜散热异常
报警影响：板卡可能宕机；影响板卡使用寿命。
处置建议：列车尽快下线，检查风扇等机柜散热设备状态，并拷取对应板卡日志进行分析。</t>
  </si>
  <si>
    <t>TC2输出板A系CPU1温度大于80℃</t>
  </si>
  <si>
    <t>生成告警-显示TC2输出板A系CPU1温度等于90℃
告警内容：XX车TC2输出板A系CPU1温度异常报警；
报警等级：1级报警
报警原因：机柜散热异常
报警影响：板卡可能宕机；影响板卡使用寿命。
处置建议：列车尽快下线，检查风扇等机柜散热设备状态，并拷取对应板卡日志进行分析。</t>
  </si>
  <si>
    <t>TC2输出板A系CPU2温度</t>
  </si>
  <si>
    <t>未生成告警-显示TC2输出板A系CPU2温度小于50℃</t>
  </si>
  <si>
    <t>TC2输出板A系CPU2温度等于70℃</t>
  </si>
  <si>
    <t>生成告警-显示TC2输出板A系CPU2温度等于70℃
告警内容：XX车TC2输出板A系CPU2温度预警；
报警等级：预警
报警原因：机柜散热异常
报警影响：板卡可能宕机；影响板卡使用寿命。
处置建议：列车回库后，检查风扇等机柜散热设备状态，并拷取对应板卡日志进行分析；</t>
  </si>
  <si>
    <t>TC2输出板A系CPU2温度大于70℃小于80℃</t>
  </si>
  <si>
    <t>生成告警-显示TC2输出板A系CPU2温度等于76℃
告警内容：XX车TC2输出板A系CPU2温度预警；
报警等级：预警
报警原因：机柜散热异常
报警影响：板卡可能宕机；影响板卡使用寿命。
处置建议：列车回库后，检查风扇等机柜散热设备状态，并拷取对应板卡日志进行分析；</t>
  </si>
  <si>
    <t>TC2输出板A系CPU2温度等于80℃</t>
  </si>
  <si>
    <t>生成告警-显示TC2输出板A系CPU2温度等于80℃
告警内容：XX车TC2输出板A系CPU2温度异常报警；
报警等级：1级报警
报警原因：机柜散热异常
报警影响：板卡可能宕机；影响板卡使用寿命。
处置建议：列车尽快下线，检查风扇等机柜散热设备状态，并拷取对应板卡日志进行分析。</t>
  </si>
  <si>
    <t>TC2输出板A系CPU2温度大于80℃</t>
  </si>
  <si>
    <t>生成告警-显示TC2输出板A系CPU2温度等于90℃
告警内容：XX车TC2输出板A系CPU2温度异常报警；
报警等级：1级报警
报警原因：机柜散热异常
报警影响：板卡可能宕机；影响板卡使用寿命。
处置建议：列车尽快下线，检查风扇等机柜散热设备状态，并拷取对应板卡日志进行分析。</t>
  </si>
  <si>
    <t>TC2输出板B系CPU1温度</t>
  </si>
  <si>
    <t>TC2输出板B系CPU1温度小于70℃</t>
  </si>
  <si>
    <t>未生成告警-显示TC2输出板B系CPU1温度小于50℃</t>
  </si>
  <si>
    <t>TC2输出板B系CPU1温度等于70℃</t>
  </si>
  <si>
    <t>生成告警-显示TC2输出板B系CPU1温度等于70℃
告警内容：XX车TC2输出板B系CPU1温度预警；
报警等级：预警
报警原因：机柜散热异常
报警影响：板卡可能宕机；影响板卡使用寿命。
处置建议：列车回库后，检查风扇等机柜散热设备状态，并拷取对应板卡日志进行分析；</t>
  </si>
  <si>
    <t>TC2输出板B系CPU1温度大于70℃小于80℃</t>
  </si>
  <si>
    <t>生成告警-显示TC2输出板B系CPU1温度等于76℃
告警内容：XX车TC2输出板B系CPU1温度预警；
报警等级：预警
报警原因：机柜散热异常
报警影响：板卡可能宕机；影响板卡使用寿命。
处置建议：列车回库后，检查风扇等机柜散热设备状态，并拷取对应板卡日志进行分析；</t>
  </si>
  <si>
    <t>TC2输出板B系CPU1温度等于80℃</t>
  </si>
  <si>
    <t>生成告警-显示TC2输出板B系CPU1温度等于80℃
告警内容：XX车TC2输出板B系CPU1温度异常报警；
报警等级：1级报警
报警原因：机柜散热异常
报警影响：板卡可能宕机；影响板卡使用寿命。
处置建议：列车尽快下线，检查风扇等机柜散热设备状态，并拷取对应板卡日志进行分析。</t>
  </si>
  <si>
    <t>TC2输出板B系CPU1温度大于80℃</t>
  </si>
  <si>
    <t>生成告警-显示TC2输出板B系CPU1温度等于90℃
告警内容：XX车TC2输出板B系CPU1温度异常报警；
报警等级：1级报警
报警原因：机柜散热异常
报警影响：板卡可能宕机；影响板卡使用寿命。
处置建议：列车尽快下线，检查风扇等机柜散热设备状态，并拷取对应板卡日志进行分析。</t>
  </si>
  <si>
    <t>TC2输出板B系CPU2温度</t>
  </si>
  <si>
    <t>未生成告警-显示TC2输出板B系CPU2温度小于50℃</t>
  </si>
  <si>
    <t>TC2输出板B系CPU2温度等于70℃</t>
  </si>
  <si>
    <t>生成告警-显示TC2输出板B系CPU2温度等于70℃
告警内容：XX车TC2输出板B系CPU2温度预警；
报警等级：预警
报警原因：机柜散热异常
报警影响：板卡可能宕机；影响板卡使用寿命。
处置建议：列车回库后，检查风扇等机柜散热设备状态，并拷取对应板卡日志进行分析；</t>
  </si>
  <si>
    <t>TC2输出板B系CPU2温度大于70℃小于80℃</t>
  </si>
  <si>
    <t>生成告警-显示TC2输出板B系CPU2温度等于76℃
告警内容：XX车TC2输出板B系CPU2温度预警；
报警等级：预警
报警原因：机柜散热异常
报警影响：板卡可能宕机；影响板卡使用寿命。
处置建议：列车回库后，检查风扇等机柜散热设备状态，并拷取对应板卡日志进行分析；</t>
  </si>
  <si>
    <t>TC2输出板B系CPU2温度等于80℃</t>
  </si>
  <si>
    <t>生成告警-显示TC2输出板B系CPU2温度等于80℃
告警内容：XX车TC2输出板B系CPU2温度异常报警；
报警等级：1级报警
报警原因：机柜散热异常
报警影响：板卡可能宕机；影响板卡使用寿命。
处置建议：列车尽快下线，检查风扇等机柜散热设备状态，并拷取对应板卡日志进行分析。</t>
  </si>
  <si>
    <t>TC2输出板B系CPU2温度大于80℃</t>
  </si>
  <si>
    <t>生成告警-显示TC2输出板B系CPU2温度等于90℃
告警内容：XX车TC2输出板B系CPU2温度异常报警；
报警等级：1级报警
报警原因：机柜散热异常
报警影响：板卡可能宕机；影响板卡使用寿命。
处置建议：列车尽快下线，检查风扇等机柜散热设备状态，并拷取对应板卡日志进行分析。</t>
  </si>
  <si>
    <t>TC2信号板A系CPU1温度</t>
  </si>
  <si>
    <t>TC2信号板A系CPU1温度小于70℃</t>
  </si>
  <si>
    <t>未生成告警-显示TC2信号板A系CPU1温度小于50℃</t>
  </si>
  <si>
    <t>TC2信号板A系CPU1温度等于70℃</t>
  </si>
  <si>
    <t>生成告警-显示TC2信号板A系CPU1温度等于70℃
告警内容：XX车TC2信号板A系CPU1温度预警；
报警等级：预警
报警原因：机柜散热异常
报警影响：板卡可能宕机；影响板卡使用寿命。
处置建议：列车回库后，检查风扇等机柜散热设备状态，并拷取对应板卡日志进行分析；</t>
  </si>
  <si>
    <t>TC2信号板A系CPU1温度大于70℃小于80℃</t>
  </si>
  <si>
    <t>生成告警-显示TC2信号板A系CPU1温度等于76℃
告警内容：XX车TC2信号板A系CPU1温度预警；
报警等级：预警
报警原因：机柜散热异常
报警影响：板卡可能宕机；影响板卡使用寿命。
处置建议：列车回库后，检查风扇等机柜散热设备状态，并拷取对应板卡日志进行分析；</t>
  </si>
  <si>
    <t>TC2信号板A系CPU1温度等于80℃</t>
  </si>
  <si>
    <t>生成告警-显示TC2信号板A系CPU1温度等于80℃
告警内容：XX车TC2信号板A系CPU1温度异常报警；
报警等级：1级报警
报警原因：机柜散热异常
报警影响：板卡可能宕机；影响板卡使用寿命。
处置建议：列车尽快下线，检查风扇等机柜散热设备状态，并拷取对应板卡日志进行分析。</t>
  </si>
  <si>
    <t>TC2信号板A系CPU1温度大于80℃</t>
  </si>
  <si>
    <t>生成告警-显示TC2信号板A系CPU1温度等于90℃
告警内容：XX车TC2信号板A系CPU1温度异常报警；
报警等级：1级报警
报警原因：机柜散热异常
报警影响：板卡可能宕机；影响板卡使用寿命。
处置建议：列车尽快下线，检查风扇等机柜散热设备状态，并拷取对应板卡日志进行分析。</t>
  </si>
  <si>
    <t>TC2信号板A系CPU2温度</t>
  </si>
  <si>
    <t>未生成告警-显示TC2信号板A系CPU2温度小于50℃</t>
  </si>
  <si>
    <t>TC2信号板A系CPU2温度等于70℃</t>
  </si>
  <si>
    <t>生成告警-显示TC2信号板A系CPU2温度等于70℃
告警内容：XX车TC2信号板A系CPU2温度预警；
报警等级：预警
报警原因：机柜散热异常
报警影响：板卡可能宕机；影响板卡使用寿命。
处置建议：列车回库后，检查风扇等机柜散热设备状态，并拷取对应板卡日志进行分析；</t>
  </si>
  <si>
    <t>TC2信号板A系CPU2温度大于70℃小于80℃</t>
  </si>
  <si>
    <t>生成告警-显示TC2信号板A系CPU2温度等于76℃
告警内容：XX车TC2信号板A系CPU2温度预警；
报警等级：预警
报警原因：机柜散热异常
报警影响：板卡可能宕机；影响板卡使用寿命。
处置建议：列车回库后，检查风扇等机柜散热设备状态，并拷取对应板卡日志进行分析；</t>
  </si>
  <si>
    <t>TC2信号板A系CPU2温度等于80℃</t>
  </si>
  <si>
    <t>生成告警-显示TC2信号板A系CPU2温度等于80℃
告警内容：XX车TC2信号板A系CPU2温度异常报警；
报警等级：1级报警
报警原因：机柜散热异常
报警影响：板卡可能宕机；影响板卡使用寿命。
处置建议：列车尽快下线，检查风扇等机柜散热设备状态，并拷取对应板卡日志进行分析。</t>
  </si>
  <si>
    <t>TC2信号板A系CPU2温度大于80℃</t>
  </si>
  <si>
    <t>生成告警-显示TC2信号板A系CPU2温度等于90℃
告警内容：XX车TC2信号板A系CPU2温度异常报警；
报警等级：1级报警
报警原因：机柜散热异常
报警影响：板卡可能宕机；影响板卡使用寿命。
处置建议：列车尽快下线，检查风扇等机柜散热设备状态，并拷取对应板卡日志进行分析。</t>
  </si>
  <si>
    <t>TC2信号板B系CPU1温度</t>
  </si>
  <si>
    <t>TC2信号板B系CPU1温度小于70℃</t>
  </si>
  <si>
    <t>未生成告警-显示TC2信号板B系CPU1温度小于50℃</t>
  </si>
  <si>
    <t>TC2信号板B系CPU1温度等于70℃</t>
  </si>
  <si>
    <t>生成告警-显示TC2信号板B系CPU1温度等于70℃
告警内容：XX车TC2信号板B系CPU1温度预警；
报警等级：预警
报警原因：机柜散热异常
报警影响：板卡可能宕机；影响板卡使用寿命。
处置建议：列车回库后，检查风扇等机柜散热设备状态，并拷取对应板卡日志进行分析；</t>
  </si>
  <si>
    <t>TC2信号板B系CPU1温度大于70℃小于80℃</t>
  </si>
  <si>
    <t>生成告警-显示TC2信号板B系CPU1温度等于76℃
告警内容：XX车TC2信号板B系CPU1温度预警；
报警等级：预警
报警原因：机柜散热异常
报警影响：板卡可能宕机；影响板卡使用寿命。
处置建议：列车回库后，检查风扇等机柜散热设备状态，并拷取对应板卡日志进行分析；</t>
  </si>
  <si>
    <t>TC2信号板B系CPU1温度等于80℃</t>
  </si>
  <si>
    <t>生成告警-显示TC2信号板B系CPU1温度等于80℃
告警内容：XX车TC2信号板B系CPU1温度异常报警；
报警等级：1级报警
报警原因：机柜散热异常
报警影响：板卡可能宕机；影响板卡使用寿命。
处置建议：列车尽快下线，检查风扇等机柜散热设备状态，并拷取对应板卡日志进行分析。</t>
  </si>
  <si>
    <t>TC2信号板B系CPU1温度大于80℃</t>
  </si>
  <si>
    <t>生成告警-显示TC2信号板B系CPU1温度等于90℃
告警内容：XX车TC2信号板B系CPU1温度异常报警；
报警等级：1级报警
报警原因：机柜散热异常
报警影响：板卡可能宕机；影响板卡使用寿命。
处置建议：列车尽快下线，检查风扇等机柜散热设备状态，并拷取对应板卡日志进行分析。</t>
  </si>
  <si>
    <t>TC2信号板B系CPU2温度</t>
  </si>
  <si>
    <t>未生成告警-显示TC2信号板B系CPU2温度小于50℃</t>
  </si>
  <si>
    <t>TC2信号板B系CPU2温度等于70℃</t>
  </si>
  <si>
    <t>生成告警-显示TC2信号板B系CPU2温度等于70℃
告警内容：XX车TC2信号板B系CPU2温度预警；
报警等级：预警
报警原因：机柜散热异常
报警影响：板卡可能宕机；影响板卡使用寿命。
处置建议：列车回库后，检查风扇等机柜散热设备状态，并拷取对应板卡日志进行分析；</t>
  </si>
  <si>
    <t>TC2信号板B系CPU2温度大于70℃小于80℃</t>
  </si>
  <si>
    <t>生成告警-显示TC2信号板B系CPU2温度等于76℃
告警内容：XX车TC2信号板B系CPU2温度预警；
报警等级：预警
报警原因：机柜散热异常
报警影响：板卡可能宕机；影响板卡使用寿命。
处置建议：列车回库后，检查风扇等机柜散热设备状态，并拷取对应板卡日志进行分析；</t>
  </si>
  <si>
    <t>TC2信号板B系CPU2温度等于80℃</t>
  </si>
  <si>
    <t>生成告警-显示TC2信号板B系CPU2温度等于80℃
告警内容：XX车TC2信号板B系CPU2温度异常报警；
报警等级：1级报警
报警原因：机柜散热异常
报警影响：板卡可能宕机；影响板卡使用寿命。
处置建议：列车尽快下线，检查风扇等机柜散热设备状态，并拷取对应板卡日志进行分析。</t>
  </si>
  <si>
    <t>TC2信号板B系CPU2温度大于80℃</t>
  </si>
  <si>
    <t>生成告警-显示TC2信号板B系CPU2温度等于90℃
告警内容：XX车TC2信号板B系CPU2温度异常报警；
报警等级：1级报警
报警原因：机柜散热异常
报警影响：板卡可能宕机；影响板卡使用寿命。
处置建议：列车尽快下线，检查风扇等机柜散热设备状态，并拷取对应板卡日志进行分析。</t>
  </si>
  <si>
    <t>TC1主机板连续运行时间1000s</t>
  </si>
  <si>
    <t>发送报文  0x00 00 2710</t>
  </si>
  <si>
    <t>未生成告警-显示TC1主机板连续运行时间10000s</t>
  </si>
  <si>
    <t>TC1ATO板连续运行时间1000s</t>
  </si>
  <si>
    <t>未生成告警-显示TC1ATO板连续运行时间10000s</t>
  </si>
  <si>
    <t>TC1通控板连续运行时间1000s</t>
  </si>
  <si>
    <t>未生成告警-显示TC1通控板连续运行时间10000s</t>
  </si>
  <si>
    <t>TC1记录板连续运行时间1000s</t>
  </si>
  <si>
    <t>未生成告警-显示TC1记录板连续运行时间10000s</t>
  </si>
  <si>
    <t>TC1输入板A系连续运行时间1000s</t>
  </si>
  <si>
    <t>未生成告警-显示TC1输入板A系连续运行时间10000s</t>
  </si>
  <si>
    <t>TC1输入板B系连续运行时间1000s</t>
  </si>
  <si>
    <t>未生成告警-显示TC1输入板B系连续运行时间10000s</t>
  </si>
  <si>
    <t>TC1输出板A系连续运行时间1000s</t>
  </si>
  <si>
    <t>未生成告警-显示TC1输出板A系连续运行时间10000s</t>
  </si>
  <si>
    <t>TC1输出板B系连续运行时间1000s</t>
  </si>
  <si>
    <t>未生成告警-显示TC1输出板B系连续运行时间10000s</t>
  </si>
  <si>
    <t>TC1信号板A系连续运行时间1000s</t>
  </si>
  <si>
    <t>未生成告警-显示TC1信号板A系连续运行时间10000s</t>
  </si>
  <si>
    <t>TC1信号板B系连续运行时间1000s</t>
  </si>
  <si>
    <t>未生成告警-显示TC1信号板B系连续运行时间10000s</t>
  </si>
  <si>
    <t>TC2主机板连续运行时间1000s</t>
  </si>
  <si>
    <t>未生成告警-显示TC2主机板连续运行时间10000s</t>
  </si>
  <si>
    <t>TC2ATO板连续运行时间1000s</t>
  </si>
  <si>
    <t>未生成告警-显示TC2ATO板连续运行时间10000s</t>
  </si>
  <si>
    <t>TC2通控板连续运行时间1000s</t>
  </si>
  <si>
    <t>未生成告警-显示TC2通控板连续运行时间10000s</t>
  </si>
  <si>
    <t>TC2记录板连续运行时间1000s</t>
  </si>
  <si>
    <t>未生成告警-显示TC2记录板连续运行时间10000s</t>
  </si>
  <si>
    <t>TC2输入板A系连续运行时间1000s</t>
  </si>
  <si>
    <t>未生成告警-显示TC2输入板A系连续运行时间10000s</t>
  </si>
  <si>
    <t>TC2输入板B系连续运行时间1000s</t>
  </si>
  <si>
    <t>未生成告警-显示TC2输入板B系连续运行时间10000s</t>
  </si>
  <si>
    <t>TC2输出板A系连续运行时间1000s</t>
  </si>
  <si>
    <t>未生成告警-显示TC2输出板A系连续运行时间10000s</t>
  </si>
  <si>
    <t>TC2输出板B系连续运行时间1000s</t>
  </si>
  <si>
    <t>未生成告警-显示TC2输出板B系连续运行时间10000s</t>
  </si>
  <si>
    <t>TC2信号板A系连续运行时间1000s</t>
  </si>
  <si>
    <t>未生成告警-显示TC2信号板A系连续运行时间10000s</t>
  </si>
  <si>
    <t>TC2信号板B系连续运行时间1000s</t>
  </si>
  <si>
    <t>未生成告警-显示TC2信号板B系连续运行时间10000s</t>
  </si>
  <si>
    <t>ATS设备运行状态帧</t>
  </si>
  <si>
    <t>判断通信设备通信中断过程累计时间(PREALARM_COUNTER（1）)</t>
  </si>
  <si>
    <t>设备(1) 判断通信设备通信中断过程累计时间0S</t>
  </si>
  <si>
    <t xml:space="preserve">ATS与mss连接正常
</t>
  </si>
  <si>
    <t>未生成告警-设备(1) 判断通信设备通信中断过程累计时间0s</t>
  </si>
  <si>
    <t>黄惠萍</t>
  </si>
  <si>
    <t>设备(1) 判断通信设备通信中断过程累计时间60S</t>
  </si>
  <si>
    <t>发送报文  0x3C</t>
  </si>
  <si>
    <t>未生成告警-设备(1) 判断通信设备通信中断过程累计时间60s</t>
  </si>
  <si>
    <t>设备(1) 判断通信设备通信中断过程累计时间255S</t>
  </si>
  <si>
    <t>未生成告警-设备(1) 判断通信设备通信中断过程累计时间255s</t>
  </si>
  <si>
    <t>ATS设备性能状态帧</t>
  </si>
  <si>
    <t>系统运行时间</t>
  </si>
  <si>
    <t>系统运行时间小于3个月</t>
  </si>
  <si>
    <t>发送报文  0x00 278D00</t>
  </si>
  <si>
    <t>未生成告警-显示系统运行时间2592000s</t>
  </si>
  <si>
    <t>系统运行时间等于3个月</t>
  </si>
  <si>
    <t>发送报文  0x00 76 A7 00</t>
  </si>
  <si>
    <t>未生成告警-显示系统运行时间7776000s</t>
  </si>
  <si>
    <t>系统运行时间大于3个月</t>
  </si>
  <si>
    <t>发送报文  0x00 77 F8 80</t>
  </si>
  <si>
    <t>生成报警-显示系统运行时间7862400s
处置建议：大于等于3个月，需要给出报警</t>
  </si>
  <si>
    <t>CPU温度</t>
  </si>
  <si>
    <t>CPU温度小于85℃</t>
  </si>
  <si>
    <t>未生成告警-显示CPU温度为60℃</t>
  </si>
  <si>
    <t>CPU温度等于85℃</t>
  </si>
  <si>
    <t>发送报文  0x55</t>
  </si>
  <si>
    <t>未生成告警-显示CPU温度为85℃</t>
  </si>
  <si>
    <t>CPU温度大于85℃</t>
  </si>
  <si>
    <t>发送报文  0x5F</t>
  </si>
  <si>
    <t>生成报警-显示CPU温度为95℃
处置建议：大于85摄氏度，需要给出报警</t>
  </si>
  <si>
    <t xml:space="preserve">NMS </t>
  </si>
  <si>
    <t>交换机CPU高负载阈值(SW_CPU_USAGE_HIGH_VALUE)</t>
  </si>
  <si>
    <t>交换机CPU高负载阈值50%</t>
  </si>
  <si>
    <t>未生成告警-交换机CPU高负载阈值50%</t>
  </si>
  <si>
    <t>交换机业务端口流量超限值(SW_EPORT_HIGH_SPEED_VALUE)</t>
  </si>
  <si>
    <t>交换机业务端口流量超限值128Kbit/s</t>
  </si>
  <si>
    <t>发送报文  0x80</t>
  </si>
  <si>
    <t>未生成告警-交换机业务端口流量超限值128Kbit/s</t>
  </si>
  <si>
    <t>交换机非业务端口流量超限值(SW_GPORT_HIGH_SPEED_VALUE)</t>
  </si>
  <si>
    <t>交换机非业务端口流量超限值1024Kbit/s</t>
  </si>
  <si>
    <t>发送报文  0x04 00</t>
  </si>
  <si>
    <t>未生成告警-交换机非业务端口流量超限值1024Kbit/s</t>
  </si>
  <si>
    <t>交换机(n)CPU利用率(SW_CpuUsage(n) )</t>
  </si>
  <si>
    <t>交换机(n)CPU利用率50%</t>
  </si>
  <si>
    <t>未生成告警-交换机(n)CPU利用率50%</t>
  </si>
  <si>
    <t>交换机(n)端口(1)流量(SW_PORT1_FLUX(n))</t>
  </si>
  <si>
    <t>交换机(n)端口(1)流量1024Kbit/s</t>
  </si>
  <si>
    <t>未生成告警-交换机(n)端口(1)流量1024Kbit/s</t>
  </si>
  <si>
    <t>交换机(n)端口(n)流量(SW_PORTn_FLUX(n))</t>
  </si>
  <si>
    <t>交换机(n)端口(n)流量1024Kbit/s</t>
  </si>
  <si>
    <t>未生成告警-交换机(n)端口(n)流量1024Kbit/s</t>
  </si>
  <si>
    <t>交换机(n)端口(1)带宽使用率SW_PORT1_BANDWIDTHUTILI(n)</t>
  </si>
  <si>
    <t>交换机(n)端口(1)带宽使用率50%</t>
  </si>
  <si>
    <t>未生成告警-交换机(n)端口(1)带宽使用率50%</t>
  </si>
  <si>
    <t>交换机(n)端口(n)带宽使用率SW_PORTn_BANDWIDTHUTILI(n)</t>
  </si>
  <si>
    <t>交换机(n)端口(n)带宽使用率50%</t>
  </si>
  <si>
    <t>未生成告警-交换机(n)端口(n)带宽使用率50%</t>
  </si>
  <si>
    <t>交换机(n)端口(1)错误包数(SW_PORT1_INERROR(n))</t>
  </si>
  <si>
    <t>交换机(n)端口(1)错误包数为100</t>
  </si>
  <si>
    <t>发送报文  0x00 64</t>
  </si>
  <si>
    <t>未生成告警-交换机(n)端口(1)错误包数为100</t>
  </si>
  <si>
    <t>交换机(n)端口(n)错误包数(SW_PORT1_INERROR(n))</t>
  </si>
  <si>
    <t>交换机(n)端口(n)错误包数为100</t>
  </si>
  <si>
    <t>未生成告警-交换机(n)端口(n)错误包数为100</t>
  </si>
  <si>
    <t>0x10_PLAT_INFO</t>
  </si>
  <si>
    <t>CCU1_STATUS</t>
  </si>
  <si>
    <t>系统CPU使用率为30%</t>
  </si>
  <si>
    <t>AIM与mss连接正常</t>
  </si>
  <si>
    <t>发送报文  0x1E 00 00 00</t>
  </si>
  <si>
    <t>未生成告警-系统CPU使用率为30%</t>
  </si>
  <si>
    <t>程序CPU使用率为30%</t>
  </si>
  <si>
    <t>发送报文  0x00 1E 00 00</t>
  </si>
  <si>
    <t>未生成告警-程序CPU使用率为30%</t>
  </si>
  <si>
    <t>系统内存使用率为30%</t>
  </si>
  <si>
    <t xml:space="preserve">发送报文  0x00 00 1E 00 </t>
  </si>
  <si>
    <t>未生成告警-系统内存使用率为30%</t>
  </si>
  <si>
    <t>程序内存使用率为30%</t>
  </si>
  <si>
    <t>发送报文  0x00 00 00 1E</t>
  </si>
  <si>
    <t>未生成告警-程序内存使用率为30%</t>
  </si>
  <si>
    <t>CCU2_STATUS</t>
  </si>
  <si>
    <t>SEB1_STATUS</t>
  </si>
  <si>
    <t>SEB2_STATUS</t>
  </si>
  <si>
    <t>AIM_STATUS</t>
  </si>
  <si>
    <t>AIM的持续运行时间100天</t>
  </si>
  <si>
    <t>未生成告警-AIM的持续运行时间100天</t>
  </si>
  <si>
    <t>0x13_PLAT_INFO</t>
  </si>
  <si>
    <t>0x50_RCOCI_TO_BDMS_ HOST_INFO</t>
  </si>
  <si>
    <t>列车ID(SYS_ID1)</t>
  </si>
  <si>
    <t>列车ID</t>
  </si>
  <si>
    <t>发送报文  0x14</t>
  </si>
  <si>
    <t>未生成告警-列车ID为20车</t>
  </si>
  <si>
    <t>与列车通信冗余周期数（COMM_SYS_REDUN）</t>
  </si>
  <si>
    <t>与列车通信冗余周期数为100</t>
  </si>
  <si>
    <t>发送报文  0x64</t>
  </si>
  <si>
    <t>未生成告警-与列车通信冗余周期数为100</t>
  </si>
  <si>
    <t>与相邻RC/CI通信冗余周期数（COMM_SYS_REDUN）</t>
  </si>
  <si>
    <t>与相邻RC/CI通信冗余周期数为100（SYS_ID1）</t>
  </si>
  <si>
    <t>未生成告警-与相邻RC/CI通信冗余周期数为100</t>
  </si>
  <si>
    <t>与相邻RC/CI通信冗余周期数为100（SYS_IDn）</t>
  </si>
  <si>
    <t>与OC通信冗余周期数（COMM_SYS_REDUN）</t>
  </si>
  <si>
    <t>与OC通信冗余周期数为100（OC_ID1）</t>
  </si>
  <si>
    <t>未生成告警-与OC通信冗余周期数为100</t>
  </si>
  <si>
    <t>与OC通信冗余周期数为100（OC_IDn）</t>
  </si>
  <si>
    <t>与PSC通信冗余周期数（COMM_SYS_REDUN）</t>
  </si>
  <si>
    <t>与PSC通信冗余周期数为100（PSC_ID1）</t>
  </si>
  <si>
    <t>未生成告警-与PSC通信冗余周期数为100</t>
  </si>
  <si>
    <t>与PSC通信冗余周期数为100（PSC_IDn）</t>
  </si>
  <si>
    <t>与计轴通信冗余周期数（COMM_SYS_REDUN）</t>
  </si>
  <si>
    <t>与计轴通信冗余周期数为100（AXL_ID1）</t>
  </si>
  <si>
    <t>未生成告警-与计轴通信冗余周期数为100</t>
  </si>
  <si>
    <t>与计轴通信冗余周期数为100（AXL_IDn）</t>
  </si>
  <si>
    <t>与ZC通信冗余周期数（COMM_SYS_REDUN）</t>
  </si>
  <si>
    <t>与ZC通信冗余周期数为100</t>
  </si>
  <si>
    <t>未生成告警-与ZC通信冗余周期数为100</t>
  </si>
  <si>
    <t>0x53_RCOCI_TO_BDMS_DEVC_STATUS</t>
  </si>
  <si>
    <t>道岔波动状态（DC_FLUCTUATION）</t>
  </si>
  <si>
    <t>道岔无波动（SWITCH_ID1）</t>
  </si>
  <si>
    <t xml:space="preserve">AIM与mss连接正常
</t>
  </si>
  <si>
    <t>未生成告警-道岔无波动</t>
  </si>
  <si>
    <t>道岔定位波动（SWITCH_ID1）</t>
  </si>
  <si>
    <t>生成故障：
告警内容：1#发生定位波动
报警等级：1级
报警原因： 道岔已锁闭，但是采集到道岔位置错误
报警影响：若道岔位置波动3周期以内则不会影响行车，若超过三周期，将会关闭信号，回撤列车移动授权
处置建议：需要检修道岔室内外节点是否正常</t>
  </si>
  <si>
    <t>道岔反位波动（SWITCH_ID1）</t>
  </si>
  <si>
    <t>发送报文  0xAA</t>
  </si>
  <si>
    <t>生成故障：
告警内容：1#发生反位波动
报警等级：1级
报警原因： 道岔已锁闭，但是采集到道岔位置错误
报警影响：若道岔位置波动3周期以内则不会影响行车，若超过三周期，将会关闭信号，回撤列车移动授权
处置建议：需要检修道岔室内外节点是否正常</t>
  </si>
  <si>
    <t>道岔无波动（SWITCH_IDn）</t>
  </si>
  <si>
    <t>道岔定位波动（SWITCH_IDn）</t>
  </si>
  <si>
    <t>生成故障：
告警内容：n#发生定位波动
报警等级：1级
报警原因： 道岔已锁闭，但是采集到道岔位置错误
报警影响：若道岔位置波动3周期以内则不会影响行车，若超过三周期，将会关闭信号，回撤列车移动授权
处置建议：需要检修道岔室内外节点是否正常</t>
  </si>
  <si>
    <t>道岔反位波动（SWITCH_IDn）</t>
  </si>
  <si>
    <t>生成故障：
告警内容：n#发生反位波动
报警等级：1级
报警原因： 道岔已锁闭，但是采集到道岔位置错误
报警影响：若道岔位置波动3周期以内则不会影响行车，若超过三周期，将会关闭信号，回撤列车移动授权
处置建议：需要检修道岔室内外节点是否正常</t>
  </si>
  <si>
    <t>0x40_TMC_TO_BDMS_INFO</t>
  </si>
  <si>
    <t xml:space="preserve"> 与TMC通信RC(1)的冗余周期数（RC_REDUN_CYC_1）</t>
  </si>
  <si>
    <t xml:space="preserve"> 与TMC通信RC(1)的冗余周期数（RC_id(1)）</t>
  </si>
  <si>
    <t>未生成告警-与TMC通信RC(1)的冗余周期数为100</t>
  </si>
  <si>
    <t>与TMC通信RC(1)的冗余周期数（RC_id(n)）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</si>
</sst>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1"/>
      <color theme="1"/>
      <name val="等线"/>
      <charset val="134"/>
    </font>
    <font>
      <sz val="10.5"/>
      <color theme="1"/>
      <name val="等线"/>
      <charset val="134"/>
      <scheme val="minor"/>
    </font>
    <font>
      <sz val="11"/>
      <color rgb="FF800080"/>
      <name val="等线"/>
      <charset val="134"/>
      <scheme val="minor"/>
    </font>
    <font>
      <sz val="11"/>
      <color theme="1"/>
      <name val="宋体"/>
      <charset val="134"/>
    </font>
    <font>
      <sz val="12"/>
      <name val="宋体"/>
      <charset val="134"/>
    </font>
    <font>
      <sz val="10.5"/>
      <color theme="1"/>
      <name val="宋体"/>
      <charset val="134"/>
    </font>
    <font>
      <sz val="10.5"/>
      <color theme="1"/>
      <name val="Times New Roman"/>
      <charset val="134"/>
    </font>
    <font>
      <sz val="11"/>
      <color rgb="FF000000"/>
      <name val="宋体"/>
      <charset val="134"/>
    </font>
    <font>
      <u/>
      <sz val="11"/>
      <color theme="8" tint="0.4"/>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xf numFmtId="0" fontId="11" fillId="0" borderId="0" applyNumberFormat="0" applyFill="0" applyBorder="0" applyAlignment="0" applyProtection="0">
      <alignment vertical="center"/>
    </xf>
    <xf numFmtId="0" fontId="0" fillId="3"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4" borderId="8" applyNumberFormat="0" applyAlignment="0" applyProtection="0">
      <alignment vertical="center"/>
    </xf>
    <xf numFmtId="0" fontId="19" fillId="5" borderId="9" applyNumberFormat="0" applyAlignment="0" applyProtection="0">
      <alignment vertical="center"/>
    </xf>
    <xf numFmtId="0" fontId="20" fillId="5" borderId="8" applyNumberFormat="0" applyAlignment="0" applyProtection="0">
      <alignment vertical="center"/>
    </xf>
    <xf numFmtId="0" fontId="21" fillId="6"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53">
    <xf numFmtId="0" fontId="0" fillId="0" borderId="0" xfId="0"/>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2" xfId="0" applyFont="1" applyBorder="1" applyAlignment="1">
      <alignment vertical="center" wrapText="1"/>
    </xf>
    <xf numFmtId="0" fontId="0" fillId="0" borderId="3" xfId="0" applyFont="1" applyBorder="1" applyAlignment="1">
      <alignment vertical="center" wrapText="1"/>
    </xf>
    <xf numFmtId="0" fontId="0" fillId="0" borderId="4" xfId="0" applyFont="1" applyBorder="1" applyAlignment="1">
      <alignment vertical="center" wrapText="1"/>
    </xf>
    <xf numFmtId="0" fontId="0" fillId="0" borderId="4" xfId="0"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3" fillId="0" borderId="0" xfId="6" applyFont="1" applyAlignment="1">
      <alignment vertical="center" wrapText="1"/>
    </xf>
    <xf numFmtId="0" fontId="0" fillId="0" borderId="1" xfId="0" applyFont="1" applyBorder="1" applyAlignment="1">
      <alignment horizontal="left" vertical="center" wrapText="1"/>
    </xf>
    <xf numFmtId="0" fontId="2" fillId="0" borderId="1" xfId="0" applyFont="1" applyBorder="1" applyAlignment="1">
      <alignment horizontal="justify" vertical="center" wrapText="1"/>
    </xf>
    <xf numFmtId="14" fontId="0" fillId="0" borderId="1" xfId="0" applyNumberFormat="1" applyFont="1" applyFill="1" applyBorder="1" applyAlignment="1">
      <alignment horizontal="left" vertical="center" wrapText="1"/>
    </xf>
    <xf numFmtId="0" fontId="0" fillId="0" borderId="1" xfId="0" applyBorder="1"/>
    <xf numFmtId="0" fontId="0" fillId="0" borderId="0" xfId="0" applyBorder="1" applyAlignment="1">
      <alignment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0" fontId="4" fillId="0" borderId="1" xfId="0" applyFont="1" applyBorder="1" applyAlignment="1">
      <alignment vertical="center" wrapText="1"/>
    </xf>
    <xf numFmtId="0" fontId="3" fillId="0" borderId="0" xfId="6" applyFont="1" applyBorder="1" applyAlignment="1">
      <alignment vertical="center" wrapText="1"/>
    </xf>
    <xf numFmtId="0" fontId="5" fillId="0" borderId="0" xfId="0" applyFont="1" applyFill="1" applyBorder="1" applyAlignment="1">
      <alignment vertical="center"/>
    </xf>
    <xf numFmtId="0" fontId="0" fillId="0" borderId="0" xfId="0" applyFont="1" applyFill="1" applyBorder="1" applyAlignment="1">
      <alignment vertical="center" wrapText="1"/>
    </xf>
    <xf numFmtId="0" fontId="4" fillId="0" borderId="1" xfId="0" applyFont="1" applyBorder="1" applyAlignment="1">
      <alignment horizontal="center" vertical="center" wrapText="1"/>
    </xf>
    <xf numFmtId="14" fontId="0" fillId="0" borderId="1" xfId="0" applyNumberFormat="1" applyFont="1" applyFill="1" applyBorder="1" applyAlignment="1">
      <alignment vertical="center" wrapText="1"/>
    </xf>
    <xf numFmtId="0" fontId="0" fillId="0" borderId="1" xfId="0" applyFont="1" applyFill="1" applyBorder="1" applyAlignment="1">
      <alignment vertical="center" wrapText="1"/>
    </xf>
    <xf numFmtId="0" fontId="0" fillId="0" borderId="0" xfId="0" applyFont="1" applyBorder="1" applyAlignment="1">
      <alignment vertical="center" wrapText="1"/>
    </xf>
    <xf numFmtId="0" fontId="0" fillId="2" borderId="0" xfId="0" applyFont="1" applyFill="1" applyBorder="1" applyAlignment="1">
      <alignment vertical="center" wrapText="1"/>
    </xf>
    <xf numFmtId="0" fontId="0" fillId="0" borderId="0" xfId="0" applyFont="1" applyBorder="1" applyAlignment="1">
      <alignment horizontal="center" vertical="center" wrapText="1"/>
    </xf>
    <xf numFmtId="0" fontId="0" fillId="0" borderId="0" xfId="0" applyFont="1" applyBorder="1" applyAlignment="1">
      <alignment horizontal="left"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vertical="center" wrapText="1"/>
    </xf>
    <xf numFmtId="0" fontId="6" fillId="0" borderId="1" xfId="0" applyFont="1" applyBorder="1" applyAlignment="1">
      <alignment horizontal="center" vertical="center" wrapText="1"/>
    </xf>
    <xf numFmtId="0" fontId="0" fillId="0"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5" fillId="0" borderId="0" xfId="0" applyFont="1" applyFill="1" applyAlignment="1">
      <alignment vertical="center"/>
    </xf>
    <xf numFmtId="0" fontId="0" fillId="0" borderId="0" xfId="0" applyAlignment="1">
      <alignment horizontal="center" vertical="center"/>
    </xf>
    <xf numFmtId="10" fontId="0" fillId="0" borderId="0" xfId="0" applyNumberFormat="1" applyAlignment="1">
      <alignment horizontal="center" vertical="center"/>
    </xf>
    <xf numFmtId="0" fontId="1" fillId="0" borderId="0" xfId="0" applyFont="1" applyFill="1" applyBorder="1" applyAlignment="1">
      <alignment horizontal="center" vertical="center"/>
    </xf>
    <xf numFmtId="0" fontId="8" fillId="0" borderId="0" xfId="0" applyFont="1" applyAlignment="1">
      <alignment horizontal="center" vertical="center"/>
    </xf>
    <xf numFmtId="10" fontId="8" fillId="0" borderId="0" xfId="0" applyNumberFormat="1" applyFont="1" applyAlignment="1">
      <alignment horizontal="center" vertical="center"/>
    </xf>
    <xf numFmtId="10" fontId="1" fillId="0" borderId="0" xfId="0" applyNumberFormat="1" applyFont="1" applyFill="1" applyBorder="1" applyAlignment="1">
      <alignment horizontal="center" vertical="center"/>
    </xf>
    <xf numFmtId="0" fontId="9" fillId="0" borderId="0" xfId="6"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4">
    <dxf>
      <font>
        <color rgb="FF9C0006"/>
      </font>
      <fill>
        <patternFill patternType="solid">
          <bgColor rgb="FFFFC7CE"/>
        </patternFill>
      </fill>
    </dxf>
    <dxf>
      <font>
        <color rgb="FF006100"/>
      </font>
      <fill>
        <patternFill patternType="solid">
          <bgColor rgb="FFC6EFCE"/>
        </patternFill>
      </fill>
    </dxf>
    <dxf>
      <fill>
        <patternFill patternType="solid">
          <bgColor theme="7" tint="0.599993896298105"/>
        </patternFill>
      </fill>
    </dxf>
    <dxf>
      <fill>
        <patternFill patternType="solid">
          <bgColor theme="0" tint="-0.25"/>
        </patternFill>
      </fill>
    </dxf>
    <dxf>
      <fill>
        <patternFill patternType="solid">
          <bgColor theme="7" tint="-0.25"/>
        </patternFill>
      </fill>
    </dxf>
    <dxf>
      <fill>
        <patternFill patternType="solid">
          <bgColor rgb="FFFCE4D6"/>
        </patternFill>
      </fill>
    </dxf>
    <dxf>
      <fill>
        <patternFill patternType="solid">
          <bgColor rgb="FFF8CBAD"/>
        </patternFill>
      </fill>
    </dxf>
    <dxf>
      <fill>
        <patternFill patternType="solid">
          <bgColor rgb="FFF4B084"/>
        </patternFill>
      </fill>
    </dxf>
    <dxf>
      <font>
        <color rgb="FF9C6500"/>
      </font>
      <fill>
        <patternFill patternType="solid">
          <bgColor rgb="FFFFEB9C"/>
        </patternFill>
      </fill>
    </dxf>
    <dxf>
      <fill>
        <patternFill patternType="solid">
          <bgColor theme="7" tint="0.799951170384838"/>
        </patternFill>
      </fill>
    </dxf>
    <dxf>
      <fill>
        <patternFill patternType="solid">
          <bgColor theme="7" tint="0.399945066682943"/>
        </patternFill>
      </fill>
    </dxf>
    <dxf>
      <fill>
        <patternFill patternType="solid">
          <bgColor theme="3" tint="0.6"/>
        </patternFill>
      </fill>
    </dxf>
    <dxf>
      <fill>
        <patternFill patternType="solid">
          <bgColor theme="5" tint="0.6"/>
        </patternFill>
      </fill>
    </dxf>
    <dxf>
      <fill>
        <patternFill patternType="solid">
          <bgColor theme="4" tint="0.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workbookViewId="0">
      <selection activeCell="F38" sqref="F38"/>
    </sheetView>
  </sheetViews>
  <sheetFormatPr defaultColWidth="9" defaultRowHeight="14.25" outlineLevelRow="6"/>
  <cols>
    <col min="1" max="1" width="35.875" style="46" customWidth="1"/>
    <col min="2" max="4" width="9" style="46"/>
    <col min="5" max="5" width="14.375" style="46" customWidth="1"/>
    <col min="6" max="6" width="10.875" style="47" customWidth="1"/>
    <col min="7" max="10" width="11" style="46" customWidth="1"/>
    <col min="11" max="11" width="11" style="47" customWidth="1"/>
    <col min="12" max="16384" width="9" style="46"/>
  </cols>
  <sheetData>
    <row r="1" s="45" customFormat="1" spans="1:12">
      <c r="A1" s="48" t="s">
        <v>0</v>
      </c>
      <c r="B1" s="49" t="s">
        <v>1</v>
      </c>
      <c r="C1" s="49" t="s">
        <v>2</v>
      </c>
      <c r="D1" s="49" t="s">
        <v>3</v>
      </c>
      <c r="E1" s="49" t="s">
        <v>4</v>
      </c>
      <c r="F1" s="49" t="s">
        <v>5</v>
      </c>
      <c r="G1" s="49" t="s">
        <v>6</v>
      </c>
      <c r="H1" s="49" t="s">
        <v>7</v>
      </c>
      <c r="I1" s="49" t="s">
        <v>8</v>
      </c>
      <c r="J1" s="49" t="s">
        <v>9</v>
      </c>
      <c r="K1" s="50" t="s">
        <v>10</v>
      </c>
      <c r="L1" s="48" t="s">
        <v>11</v>
      </c>
    </row>
    <row r="2" spans="1:12">
      <c r="A2" s="46" t="s">
        <v>12</v>
      </c>
      <c r="B2" s="48">
        <f ca="1">COUNTIF(INDIRECT("'"&amp;A2&amp;"'!h2:h998"),"&lt;&gt;")</f>
        <v>300</v>
      </c>
      <c r="C2" s="48">
        <f ca="1">COUNTIF(INDIRECT("'"&amp;A2&amp;"'!e2:e998"),"=废弃")</f>
        <v>0</v>
      </c>
      <c r="D2" s="48">
        <f ca="1">B2-C2</f>
        <v>300</v>
      </c>
      <c r="E2" s="48">
        <f ca="1">COUNTIFS(INDIRECT("'"&amp;A2&amp;"'!f2:f998"),"&lt;&gt;否",INDIRECT("'"&amp;A2&amp;"'!f2:f998"),"&lt;&gt;")</f>
        <v>300</v>
      </c>
      <c r="F2" s="48">
        <f ca="1">COUNTIFS(INDIRECT("'"&amp;A2&amp;"'!f2:f998"),"=是",INDIRECT("'"&amp;A2&amp;"'!l2:l998"),"=通过")</f>
        <v>300</v>
      </c>
      <c r="G2" s="48">
        <f ca="1">COUNTIFS(INDIRECT("'"&amp;A2&amp;"'!f2:f998"),"=是",INDIRECT("'"&amp;A2&amp;"'!l2:l998"),"=不通过")</f>
        <v>0</v>
      </c>
      <c r="H2" s="48">
        <f ca="1">F2+G2</f>
        <v>300</v>
      </c>
      <c r="I2" s="48">
        <f ca="1">E2-H2</f>
        <v>0</v>
      </c>
      <c r="J2" s="48">
        <f ca="1">COUNTIFS(INDIRECT("'"&amp;A2&amp;"'!f2:f998"),"=是",INDIRECT("'"&amp;A2&amp;"'!l2:l998"),"=阻塞")</f>
        <v>0</v>
      </c>
      <c r="K2" s="51">
        <f ca="1">F2/H2</f>
        <v>1</v>
      </c>
      <c r="L2" s="52" t="str">
        <f>HYPERLINK("#"&amp;A2&amp;"!a1","详情")</f>
        <v>详情</v>
      </c>
    </row>
    <row r="3" spans="1:12">
      <c r="A3" s="46" t="s">
        <v>13</v>
      </c>
      <c r="B3" s="48">
        <f ca="1">COUNTIF(INDIRECT("'"&amp;A3&amp;"'!h2:h998"),"&lt;&gt;")</f>
        <v>9</v>
      </c>
      <c r="C3" s="48">
        <f ca="1">COUNTIF(INDIRECT("'"&amp;A3&amp;"'!e2:e998"),"=废弃")</f>
        <v>0</v>
      </c>
      <c r="D3" s="48">
        <f ca="1">B3-C3</f>
        <v>9</v>
      </c>
      <c r="E3" s="48">
        <f ca="1">COUNTIFS(INDIRECT("'"&amp;A3&amp;"'!f2:f998"),"&lt;&gt;否",INDIRECT("'"&amp;A3&amp;"'!f2:f998"),"&lt;&gt;")</f>
        <v>9</v>
      </c>
      <c r="F3" s="48">
        <f ca="1">COUNTIFS(INDIRECT("'"&amp;A3&amp;"'!f2:f998"),"=是",INDIRECT("'"&amp;A3&amp;"'!l2:l998"),"=通过")</f>
        <v>9</v>
      </c>
      <c r="G3" s="48">
        <f ca="1">COUNTIFS(INDIRECT("'"&amp;A3&amp;"'!f2:f998"),"=是",INDIRECT("'"&amp;A3&amp;"'!l2:l998"),"=不通过")</f>
        <v>0</v>
      </c>
      <c r="H3" s="48">
        <f ca="1">F3+G3</f>
        <v>9</v>
      </c>
      <c r="I3" s="48">
        <f ca="1">E3-H3</f>
        <v>0</v>
      </c>
      <c r="J3" s="48">
        <f ca="1">COUNTIFS(INDIRECT("'"&amp;A3&amp;"'!f2:f998"),"=是",INDIRECT("'"&amp;A3&amp;"'!l2:l998"),"=阻塞")</f>
        <v>0</v>
      </c>
      <c r="K3" s="51">
        <f ca="1">F3/H3</f>
        <v>1</v>
      </c>
      <c r="L3" s="52" t="str">
        <f>HYPERLINK("#"&amp;A3&amp;"!a1","详情")</f>
        <v>详情</v>
      </c>
    </row>
    <row r="4" spans="1:12">
      <c r="A4" s="46" t="s">
        <v>14</v>
      </c>
      <c r="B4" s="48">
        <f ca="1">COUNTIF(INDIRECT("'"&amp;A4&amp;"'!h2:h998"),"&lt;&gt;")</f>
        <v>10</v>
      </c>
      <c r="C4" s="48">
        <f ca="1">COUNTIF(INDIRECT("'"&amp;A4&amp;"'!e2:e998"),"=废弃")</f>
        <v>0</v>
      </c>
      <c r="D4" s="48">
        <f ca="1">B4-C4</f>
        <v>10</v>
      </c>
      <c r="E4" s="48">
        <f ca="1">COUNTIFS(INDIRECT("'"&amp;A4&amp;"'!f2:f998"),"&lt;&gt;否",INDIRECT("'"&amp;A4&amp;"'!f2:f998"),"&lt;&gt;")</f>
        <v>10</v>
      </c>
      <c r="F4" s="48">
        <f ca="1">COUNTIFS(INDIRECT("'"&amp;A4&amp;"'!f2:f998"),"=是",INDIRECT("'"&amp;A4&amp;"'!l2:l998"),"=通过")</f>
        <v>10</v>
      </c>
      <c r="G4" s="48">
        <f ca="1">COUNTIFS(INDIRECT("'"&amp;A4&amp;"'!f2:f998"),"=是",INDIRECT("'"&amp;A4&amp;"'!l2:l998"),"=不通过")</f>
        <v>0</v>
      </c>
      <c r="H4" s="48">
        <f ca="1">F4+G4</f>
        <v>10</v>
      </c>
      <c r="I4" s="48">
        <f ca="1">E4-H4</f>
        <v>0</v>
      </c>
      <c r="J4" s="48">
        <f ca="1">COUNTIFS(INDIRECT("'"&amp;A4&amp;"'!f2:f998"),"=是",INDIRECT("'"&amp;A4&amp;"'!l2:l998"),"=阻塞")</f>
        <v>0</v>
      </c>
      <c r="K4" s="51">
        <f ca="1">F4/H4</f>
        <v>1</v>
      </c>
      <c r="L4" s="52" t="str">
        <f>HYPERLINK("#"&amp;A4&amp;"!a1","详情")</f>
        <v>详情</v>
      </c>
    </row>
    <row r="5" spans="1:12">
      <c r="A5" s="46" t="s">
        <v>15</v>
      </c>
      <c r="B5" s="48">
        <f ca="1">COUNTIF(INDIRECT("'"&amp;A5&amp;"'!h2:h998"),"&lt;&gt;")</f>
        <v>45</v>
      </c>
      <c r="C5" s="48">
        <f ca="1">COUNTIF(INDIRECT("'"&amp;A5&amp;"'!e2:e998"),"=废弃")</f>
        <v>0</v>
      </c>
      <c r="D5" s="48">
        <f ca="1">B5-C5</f>
        <v>45</v>
      </c>
      <c r="E5" s="48">
        <f ca="1">COUNTIFS(INDIRECT("'"&amp;A5&amp;"'!f2:f998"),"&lt;&gt;否",INDIRECT("'"&amp;A5&amp;"'!f2:f998"),"&lt;&gt;")</f>
        <v>45</v>
      </c>
      <c r="F5" s="48">
        <f ca="1">COUNTIFS(INDIRECT("'"&amp;A5&amp;"'!f2:f998"),"=是",INDIRECT("'"&amp;A5&amp;"'!l2:l998"),"=通过")</f>
        <v>45</v>
      </c>
      <c r="G5" s="48">
        <f ca="1">COUNTIFS(INDIRECT("'"&amp;A5&amp;"'!f2:f998"),"=是",INDIRECT("'"&amp;A5&amp;"'!l2:l998"),"=不通过")</f>
        <v>0</v>
      </c>
      <c r="H5" s="48">
        <f ca="1">F5+G5</f>
        <v>45</v>
      </c>
      <c r="I5" s="48">
        <f ca="1">E5-H5</f>
        <v>0</v>
      </c>
      <c r="J5" s="48">
        <f ca="1">COUNTIFS(INDIRECT("'"&amp;A5&amp;"'!f2:f998"),"=是",INDIRECT("'"&amp;A5&amp;"'!l2:l998"),"=阻塞")</f>
        <v>0</v>
      </c>
      <c r="K5" s="51">
        <f ca="1">F5/H5</f>
        <v>1</v>
      </c>
      <c r="L5" s="52" t="str">
        <f>HYPERLINK("#"&amp;A5&amp;"!a1","详情")</f>
        <v>详情</v>
      </c>
    </row>
    <row r="6" spans="6:6">
      <c r="F6" s="46"/>
    </row>
    <row r="7" spans="1:11">
      <c r="A7" s="46" t="s">
        <v>16</v>
      </c>
      <c r="B7" s="46">
        <f ca="1">SUM(B2:B6)</f>
        <v>364</v>
      </c>
      <c r="C7" s="46">
        <f ca="1" t="shared" ref="B7:J7" si="0">SUM(C2:C6)</f>
        <v>0</v>
      </c>
      <c r="D7" s="46">
        <f ca="1" t="shared" si="0"/>
        <v>364</v>
      </c>
      <c r="E7" s="46">
        <f ca="1" t="shared" si="0"/>
        <v>364</v>
      </c>
      <c r="F7" s="46">
        <f ca="1" t="shared" si="0"/>
        <v>364</v>
      </c>
      <c r="G7" s="46">
        <f ca="1" t="shared" si="0"/>
        <v>0</v>
      </c>
      <c r="H7" s="46">
        <f ca="1" t="shared" si="0"/>
        <v>364</v>
      </c>
      <c r="I7" s="46">
        <f ca="1" t="shared" si="0"/>
        <v>0</v>
      </c>
      <c r="J7" s="46">
        <f ca="1" t="shared" si="0"/>
        <v>0</v>
      </c>
      <c r="K7" s="47">
        <f ca="1">F7/H7</f>
        <v>1</v>
      </c>
    </row>
  </sheetData>
  <hyperlinks>
    <hyperlink ref="L3" location="ATS!A1" display="=HYPERLINK(&quot;#&quot;&amp;A3&amp;&quot;!a1&quot;,&quot;详情&quot;)"/>
    <hyperlink ref="L4" location="DCS!A1" display="=HYPERLINK(&quot;#&quot;&amp;A4&amp;&quot;!a1&quot;,&quot;详情&quot;)"/>
    <hyperlink ref="L5" location="AIM!A1" display="=HYPERLINK(&quot;#&quot;&amp;A5&amp;&quot;!a1&quot;,&quot;详情&quot;)"/>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01"/>
  <sheetViews>
    <sheetView topLeftCell="G1" workbookViewId="0">
      <selection activeCell="L2" sqref="L2:N301"/>
    </sheetView>
  </sheetViews>
  <sheetFormatPr defaultColWidth="9" defaultRowHeight="14.25"/>
  <cols>
    <col min="1" max="1" width="9" style="35"/>
    <col min="2" max="2" width="15.875" style="37" customWidth="1"/>
    <col min="3" max="3" width="9.5" style="37" customWidth="1"/>
    <col min="4" max="6" width="10" style="37" customWidth="1"/>
    <col min="7" max="7" width="21.375" style="37" customWidth="1"/>
    <col min="8" max="8" width="32" style="37" customWidth="1"/>
    <col min="9" max="9" width="22.625" style="38" customWidth="1"/>
    <col min="10" max="10" width="41.75" style="38" customWidth="1"/>
    <col min="11" max="11" width="47" style="35" customWidth="1"/>
    <col min="12" max="12" width="10.75" style="37" customWidth="1"/>
    <col min="13" max="13" width="11.625" style="35" customWidth="1"/>
    <col min="14" max="14" width="10.75" style="35" customWidth="1"/>
    <col min="15" max="15" width="19.375" style="35" customWidth="1"/>
    <col min="16" max="16384" width="9" style="35"/>
  </cols>
  <sheetData>
    <row r="1" s="35" customFormat="1" ht="28.5" spans="1:16">
      <c r="A1" s="6" t="s">
        <v>17</v>
      </c>
      <c r="B1" s="6" t="s">
        <v>18</v>
      </c>
      <c r="C1" s="6" t="s">
        <v>19</v>
      </c>
      <c r="D1" s="6" t="s">
        <v>20</v>
      </c>
      <c r="E1" s="7" t="s">
        <v>21</v>
      </c>
      <c r="F1" s="7" t="s">
        <v>22</v>
      </c>
      <c r="G1" s="6" t="s">
        <v>23</v>
      </c>
      <c r="H1" s="6" t="s">
        <v>24</v>
      </c>
      <c r="I1" s="6" t="s">
        <v>25</v>
      </c>
      <c r="J1" s="6" t="s">
        <v>26</v>
      </c>
      <c r="K1" s="6" t="s">
        <v>27</v>
      </c>
      <c r="L1" s="6" t="s">
        <v>28</v>
      </c>
      <c r="M1" s="7" t="s">
        <v>29</v>
      </c>
      <c r="N1" s="7" t="s">
        <v>30</v>
      </c>
      <c r="O1" s="7" t="s">
        <v>31</v>
      </c>
      <c r="P1" s="29" t="s">
        <v>32</v>
      </c>
    </row>
    <row r="2" s="35" customFormat="1" ht="185.25" spans="1:16">
      <c r="A2" s="6" t="s">
        <v>33</v>
      </c>
      <c r="B2" s="6" t="s">
        <v>34</v>
      </c>
      <c r="C2" s="6" t="s">
        <v>35</v>
      </c>
      <c r="D2" s="6" t="s">
        <v>36</v>
      </c>
      <c r="E2" s="7" t="s">
        <v>37</v>
      </c>
      <c r="F2" s="7" t="s">
        <v>38</v>
      </c>
      <c r="G2" s="8" t="str">
        <f t="shared" ref="G2:G54" si="0">"vobc_17.14.1_3.3.2.1.1_"&amp;ROW()-1</f>
        <v>vobc_17.14.1_3.3.2.1.1_1</v>
      </c>
      <c r="H2" s="6" t="s">
        <v>39</v>
      </c>
      <c r="I2" s="8" t="s">
        <v>40</v>
      </c>
      <c r="J2" s="21" t="s">
        <v>41</v>
      </c>
      <c r="K2" s="8" t="s">
        <v>42</v>
      </c>
      <c r="L2" s="6" t="s">
        <v>43</v>
      </c>
      <c r="M2" s="23">
        <v>45842</v>
      </c>
      <c r="N2" s="7" t="s">
        <v>44</v>
      </c>
      <c r="O2" s="42"/>
      <c r="P2" s="31"/>
    </row>
    <row r="3" s="35" customFormat="1" ht="28.5" spans="1:16">
      <c r="A3" s="6"/>
      <c r="B3" s="6"/>
      <c r="C3" s="6" t="s">
        <v>35</v>
      </c>
      <c r="D3" s="6" t="s">
        <v>36</v>
      </c>
      <c r="E3" s="7" t="s">
        <v>37</v>
      </c>
      <c r="F3" s="7" t="s">
        <v>38</v>
      </c>
      <c r="G3" s="8" t="str">
        <f t="shared" si="0"/>
        <v>vobc_17.14.1_3.3.2.1.1_2</v>
      </c>
      <c r="H3" s="6" t="s">
        <v>45</v>
      </c>
      <c r="I3" s="8" t="s">
        <v>40</v>
      </c>
      <c r="J3" s="21" t="s">
        <v>46</v>
      </c>
      <c r="K3" s="8" t="s">
        <v>47</v>
      </c>
      <c r="L3" s="6" t="s">
        <v>43</v>
      </c>
      <c r="M3" s="23">
        <v>45842</v>
      </c>
      <c r="N3" s="7" t="s">
        <v>44</v>
      </c>
      <c r="O3" s="42"/>
      <c r="P3" s="31"/>
    </row>
    <row r="4" s="35" customFormat="1" ht="185.25" spans="1:16">
      <c r="A4" s="6"/>
      <c r="B4" s="6"/>
      <c r="C4" s="6" t="s">
        <v>35</v>
      </c>
      <c r="D4" s="6" t="s">
        <v>36</v>
      </c>
      <c r="E4" s="7" t="s">
        <v>37</v>
      </c>
      <c r="F4" s="7" t="s">
        <v>38</v>
      </c>
      <c r="G4" s="8" t="str">
        <f t="shared" si="0"/>
        <v>vobc_17.14.1_3.3.2.1.1_3</v>
      </c>
      <c r="H4" s="6" t="s">
        <v>48</v>
      </c>
      <c r="I4" s="8" t="s">
        <v>40</v>
      </c>
      <c r="J4" s="21" t="s">
        <v>49</v>
      </c>
      <c r="K4" s="8" t="s">
        <v>50</v>
      </c>
      <c r="L4" s="6" t="s">
        <v>43</v>
      </c>
      <c r="M4" s="23">
        <v>45842</v>
      </c>
      <c r="N4" s="7" t="s">
        <v>44</v>
      </c>
      <c r="O4" s="42"/>
      <c r="P4" s="31"/>
    </row>
    <row r="5" s="35" customFormat="1" ht="28.5" spans="1:16">
      <c r="A5" s="6"/>
      <c r="B5" s="6"/>
      <c r="C5" s="6" t="s">
        <v>35</v>
      </c>
      <c r="D5" s="6" t="s">
        <v>36</v>
      </c>
      <c r="E5" s="7" t="s">
        <v>37</v>
      </c>
      <c r="F5" s="7" t="s">
        <v>38</v>
      </c>
      <c r="G5" s="8" t="str">
        <f t="shared" si="0"/>
        <v>vobc_17.14.1_3.3.2.1.1_4</v>
      </c>
      <c r="H5" s="6" t="s">
        <v>48</v>
      </c>
      <c r="I5" s="8" t="s">
        <v>40</v>
      </c>
      <c r="J5" s="21" t="s">
        <v>46</v>
      </c>
      <c r="K5" s="8" t="s">
        <v>47</v>
      </c>
      <c r="L5" s="6" t="s">
        <v>43</v>
      </c>
      <c r="M5" s="23">
        <v>45842</v>
      </c>
      <c r="N5" s="7" t="s">
        <v>44</v>
      </c>
      <c r="O5" s="42"/>
      <c r="P5" s="31"/>
    </row>
    <row r="6" s="35" customFormat="1" ht="185.25" spans="1:16">
      <c r="A6" s="6"/>
      <c r="B6" s="6"/>
      <c r="C6" s="6" t="s">
        <v>35</v>
      </c>
      <c r="D6" s="6" t="s">
        <v>36</v>
      </c>
      <c r="E6" s="7" t="s">
        <v>37</v>
      </c>
      <c r="F6" s="7" t="s">
        <v>38</v>
      </c>
      <c r="G6" s="8" t="str">
        <f t="shared" si="0"/>
        <v>vobc_17.14.1_3.3.2.1.1_5</v>
      </c>
      <c r="H6" s="6" t="s">
        <v>51</v>
      </c>
      <c r="I6" s="8" t="s">
        <v>40</v>
      </c>
      <c r="J6" s="21" t="s">
        <v>52</v>
      </c>
      <c r="K6" s="8" t="s">
        <v>53</v>
      </c>
      <c r="L6" s="6" t="s">
        <v>43</v>
      </c>
      <c r="M6" s="23">
        <v>45842</v>
      </c>
      <c r="N6" s="7" t="s">
        <v>44</v>
      </c>
      <c r="O6" s="42"/>
      <c r="P6" s="31"/>
    </row>
    <row r="7" s="35" customFormat="1" ht="28.5" spans="1:16">
      <c r="A7" s="6"/>
      <c r="B7" s="6"/>
      <c r="C7" s="6" t="s">
        <v>35</v>
      </c>
      <c r="D7" s="6" t="s">
        <v>36</v>
      </c>
      <c r="E7" s="7" t="s">
        <v>37</v>
      </c>
      <c r="F7" s="7" t="s">
        <v>38</v>
      </c>
      <c r="G7" s="8" t="str">
        <f t="shared" si="0"/>
        <v>vobc_17.14.1_3.3.2.1.1_6</v>
      </c>
      <c r="H7" s="6" t="s">
        <v>54</v>
      </c>
      <c r="I7" s="8" t="s">
        <v>40</v>
      </c>
      <c r="J7" s="21" t="s">
        <v>46</v>
      </c>
      <c r="K7" s="8" t="s">
        <v>47</v>
      </c>
      <c r="L7" s="6" t="s">
        <v>43</v>
      </c>
      <c r="M7" s="23">
        <v>45842</v>
      </c>
      <c r="N7" s="7" t="s">
        <v>44</v>
      </c>
      <c r="O7" s="42"/>
      <c r="P7" s="31"/>
    </row>
    <row r="8" s="35" customFormat="1" ht="185.25" spans="1:16">
      <c r="A8" s="6"/>
      <c r="B8" s="6"/>
      <c r="C8" s="6" t="s">
        <v>35</v>
      </c>
      <c r="D8" s="6" t="s">
        <v>36</v>
      </c>
      <c r="E8" s="7" t="s">
        <v>37</v>
      </c>
      <c r="F8" s="7" t="s">
        <v>38</v>
      </c>
      <c r="G8" s="8" t="str">
        <f t="shared" si="0"/>
        <v>vobc_17.14.1_3.3.2.1.1_7</v>
      </c>
      <c r="H8" s="6" t="s">
        <v>55</v>
      </c>
      <c r="I8" s="8" t="s">
        <v>40</v>
      </c>
      <c r="J8" s="21" t="s">
        <v>56</v>
      </c>
      <c r="K8" s="8" t="s">
        <v>57</v>
      </c>
      <c r="L8" s="6" t="s">
        <v>43</v>
      </c>
      <c r="M8" s="23">
        <v>45842</v>
      </c>
      <c r="N8" s="7" t="s">
        <v>44</v>
      </c>
      <c r="O8" s="42"/>
      <c r="P8" s="31"/>
    </row>
    <row r="9" s="35" customFormat="1" ht="28.5" spans="1:16">
      <c r="A9" s="6"/>
      <c r="B9" s="6"/>
      <c r="C9" s="6" t="s">
        <v>35</v>
      </c>
      <c r="D9" s="6" t="s">
        <v>36</v>
      </c>
      <c r="E9" s="7" t="s">
        <v>37</v>
      </c>
      <c r="F9" s="7" t="s">
        <v>38</v>
      </c>
      <c r="G9" s="8" t="str">
        <f t="shared" si="0"/>
        <v>vobc_17.14.1_3.3.2.1.1_8</v>
      </c>
      <c r="H9" s="6" t="s">
        <v>55</v>
      </c>
      <c r="I9" s="8" t="s">
        <v>40</v>
      </c>
      <c r="J9" s="21" t="s">
        <v>46</v>
      </c>
      <c r="K9" s="8" t="s">
        <v>47</v>
      </c>
      <c r="L9" s="6" t="s">
        <v>43</v>
      </c>
      <c r="M9" s="23">
        <v>45842</v>
      </c>
      <c r="N9" s="7" t="s">
        <v>44</v>
      </c>
      <c r="O9" s="42"/>
      <c r="P9" s="31"/>
    </row>
    <row r="10" s="35" customFormat="1" ht="185.25" spans="1:16">
      <c r="A10" s="6"/>
      <c r="B10" s="6"/>
      <c r="C10" s="6" t="s">
        <v>35</v>
      </c>
      <c r="D10" s="6" t="s">
        <v>36</v>
      </c>
      <c r="E10" s="7" t="s">
        <v>37</v>
      </c>
      <c r="F10" s="7" t="s">
        <v>38</v>
      </c>
      <c r="G10" s="8" t="str">
        <f t="shared" si="0"/>
        <v>vobc_17.14.1_3.3.2.1.1_9</v>
      </c>
      <c r="H10" s="6" t="s">
        <v>58</v>
      </c>
      <c r="I10" s="8" t="s">
        <v>40</v>
      </c>
      <c r="J10" s="21" t="s">
        <v>59</v>
      </c>
      <c r="K10" s="8" t="s">
        <v>60</v>
      </c>
      <c r="L10" s="6" t="s">
        <v>43</v>
      </c>
      <c r="M10" s="23">
        <v>45842</v>
      </c>
      <c r="N10" s="7" t="s">
        <v>44</v>
      </c>
      <c r="O10" s="42"/>
      <c r="P10" s="31"/>
    </row>
    <row r="11" s="35" customFormat="1" ht="28.5" spans="1:16">
      <c r="A11" s="6"/>
      <c r="B11" s="6"/>
      <c r="C11" s="6" t="s">
        <v>35</v>
      </c>
      <c r="D11" s="6" t="s">
        <v>36</v>
      </c>
      <c r="E11" s="7" t="s">
        <v>37</v>
      </c>
      <c r="F11" s="7" t="s">
        <v>38</v>
      </c>
      <c r="G11" s="8" t="str">
        <f t="shared" si="0"/>
        <v>vobc_17.14.1_3.3.2.1.1_10</v>
      </c>
      <c r="H11" s="6" t="s">
        <v>61</v>
      </c>
      <c r="I11" s="8" t="s">
        <v>40</v>
      </c>
      <c r="J11" s="21" t="s">
        <v>46</v>
      </c>
      <c r="K11" s="8" t="s">
        <v>47</v>
      </c>
      <c r="L11" s="6" t="s">
        <v>43</v>
      </c>
      <c r="M11" s="23">
        <v>45842</v>
      </c>
      <c r="N11" s="7" t="s">
        <v>44</v>
      </c>
      <c r="O11" s="42"/>
      <c r="P11" s="31"/>
    </row>
    <row r="12" s="35" customFormat="1" ht="185.25" spans="1:16">
      <c r="A12" s="6"/>
      <c r="B12" s="6"/>
      <c r="C12" s="6" t="s">
        <v>35</v>
      </c>
      <c r="D12" s="6" t="s">
        <v>36</v>
      </c>
      <c r="E12" s="7" t="s">
        <v>37</v>
      </c>
      <c r="F12" s="7" t="s">
        <v>38</v>
      </c>
      <c r="G12" s="8" t="str">
        <f t="shared" si="0"/>
        <v>vobc_17.14.1_3.3.2.1.1_11</v>
      </c>
      <c r="H12" s="6" t="s">
        <v>62</v>
      </c>
      <c r="I12" s="8" t="s">
        <v>40</v>
      </c>
      <c r="J12" s="21" t="s">
        <v>63</v>
      </c>
      <c r="K12" s="8" t="s">
        <v>64</v>
      </c>
      <c r="L12" s="6" t="s">
        <v>43</v>
      </c>
      <c r="M12" s="23">
        <v>45842</v>
      </c>
      <c r="N12" s="7" t="s">
        <v>44</v>
      </c>
      <c r="O12" s="42"/>
      <c r="P12" s="31"/>
    </row>
    <row r="13" s="35" customFormat="1" ht="28.5" spans="1:16">
      <c r="A13" s="6"/>
      <c r="B13" s="6"/>
      <c r="C13" s="6" t="s">
        <v>35</v>
      </c>
      <c r="D13" s="6" t="s">
        <v>36</v>
      </c>
      <c r="E13" s="7" t="s">
        <v>37</v>
      </c>
      <c r="F13" s="7" t="s">
        <v>38</v>
      </c>
      <c r="G13" s="8" t="str">
        <f t="shared" si="0"/>
        <v>vobc_17.14.1_3.3.2.1.1_12</v>
      </c>
      <c r="H13" s="6" t="s">
        <v>65</v>
      </c>
      <c r="I13" s="8" t="s">
        <v>40</v>
      </c>
      <c r="J13" s="21" t="s">
        <v>46</v>
      </c>
      <c r="K13" s="8" t="s">
        <v>47</v>
      </c>
      <c r="L13" s="6" t="s">
        <v>43</v>
      </c>
      <c r="M13" s="23">
        <v>45842</v>
      </c>
      <c r="N13" s="7" t="s">
        <v>44</v>
      </c>
      <c r="O13" s="42"/>
      <c r="P13" s="31"/>
    </row>
    <row r="14" s="35" customFormat="1" ht="185.25" spans="1:16">
      <c r="A14" s="6"/>
      <c r="B14" s="6"/>
      <c r="C14" s="6" t="s">
        <v>35</v>
      </c>
      <c r="D14" s="6" t="s">
        <v>36</v>
      </c>
      <c r="E14" s="7" t="s">
        <v>37</v>
      </c>
      <c r="F14" s="7" t="s">
        <v>38</v>
      </c>
      <c r="G14" s="8" t="str">
        <f t="shared" si="0"/>
        <v>vobc_17.14.1_3.3.2.1.1_13</v>
      </c>
      <c r="H14" s="6" t="s">
        <v>66</v>
      </c>
      <c r="I14" s="8" t="s">
        <v>40</v>
      </c>
      <c r="J14" s="21" t="s">
        <v>67</v>
      </c>
      <c r="K14" s="8" t="s">
        <v>68</v>
      </c>
      <c r="L14" s="6" t="s">
        <v>43</v>
      </c>
      <c r="M14" s="23">
        <v>45842</v>
      </c>
      <c r="N14" s="7" t="s">
        <v>44</v>
      </c>
      <c r="O14" s="42"/>
      <c r="P14" s="31"/>
    </row>
    <row r="15" s="35" customFormat="1" ht="28.5" spans="1:16">
      <c r="A15" s="6"/>
      <c r="B15" s="6"/>
      <c r="C15" s="6" t="s">
        <v>35</v>
      </c>
      <c r="D15" s="6" t="s">
        <v>36</v>
      </c>
      <c r="E15" s="7" t="s">
        <v>37</v>
      </c>
      <c r="F15" s="7" t="s">
        <v>38</v>
      </c>
      <c r="G15" s="8" t="str">
        <f t="shared" si="0"/>
        <v>vobc_17.14.1_3.3.2.1.1_14</v>
      </c>
      <c r="H15" s="6" t="s">
        <v>69</v>
      </c>
      <c r="I15" s="8" t="s">
        <v>40</v>
      </c>
      <c r="J15" s="21" t="s">
        <v>46</v>
      </c>
      <c r="K15" s="8" t="s">
        <v>47</v>
      </c>
      <c r="L15" s="6" t="s">
        <v>43</v>
      </c>
      <c r="M15" s="23">
        <v>45842</v>
      </c>
      <c r="N15" s="7" t="s">
        <v>44</v>
      </c>
      <c r="O15" s="42"/>
      <c r="P15" s="31"/>
    </row>
    <row r="16" s="35" customFormat="1" ht="185.25" spans="1:16">
      <c r="A16" s="6"/>
      <c r="B16" s="6"/>
      <c r="C16" s="6" t="s">
        <v>35</v>
      </c>
      <c r="D16" s="6" t="s">
        <v>36</v>
      </c>
      <c r="E16" s="7" t="s">
        <v>37</v>
      </c>
      <c r="F16" s="7" t="s">
        <v>38</v>
      </c>
      <c r="G16" s="8" t="str">
        <f t="shared" si="0"/>
        <v>vobc_17.14.1_3.3.2.1.1_15</v>
      </c>
      <c r="H16" s="6" t="s">
        <v>70</v>
      </c>
      <c r="I16" s="8" t="s">
        <v>40</v>
      </c>
      <c r="J16" s="21" t="s">
        <v>71</v>
      </c>
      <c r="K16" s="8" t="s">
        <v>72</v>
      </c>
      <c r="L16" s="6" t="s">
        <v>43</v>
      </c>
      <c r="M16" s="23">
        <v>45842</v>
      </c>
      <c r="N16" s="7" t="s">
        <v>44</v>
      </c>
      <c r="O16" s="42"/>
      <c r="P16" s="31"/>
    </row>
    <row r="17" s="35" customFormat="1" ht="28.5" spans="1:16">
      <c r="A17" s="6"/>
      <c r="B17" s="6"/>
      <c r="C17" s="6" t="s">
        <v>35</v>
      </c>
      <c r="D17" s="6" t="s">
        <v>36</v>
      </c>
      <c r="E17" s="7" t="s">
        <v>37</v>
      </c>
      <c r="F17" s="7" t="s">
        <v>38</v>
      </c>
      <c r="G17" s="8" t="str">
        <f t="shared" si="0"/>
        <v>vobc_17.14.1_3.3.2.1.1_16</v>
      </c>
      <c r="H17" s="6" t="s">
        <v>73</v>
      </c>
      <c r="I17" s="8" t="s">
        <v>40</v>
      </c>
      <c r="J17" s="21" t="s">
        <v>46</v>
      </c>
      <c r="K17" s="8" t="s">
        <v>47</v>
      </c>
      <c r="L17" s="6" t="s">
        <v>43</v>
      </c>
      <c r="M17" s="23">
        <v>45842</v>
      </c>
      <c r="N17" s="7" t="s">
        <v>44</v>
      </c>
      <c r="O17" s="42"/>
      <c r="P17" s="31"/>
    </row>
    <row r="18" s="36" customFormat="1" ht="185.25" spans="1:15">
      <c r="A18" s="7"/>
      <c r="B18" s="39"/>
      <c r="C18" s="39" t="s">
        <v>35</v>
      </c>
      <c r="D18" s="39" t="s">
        <v>36</v>
      </c>
      <c r="E18" s="39" t="s">
        <v>37</v>
      </c>
      <c r="F18" s="7" t="s">
        <v>38</v>
      </c>
      <c r="G18" s="40" t="str">
        <f t="shared" si="0"/>
        <v>vobc_17.14.1_3.3.2.1.1_17</v>
      </c>
      <c r="H18" s="39" t="s">
        <v>74</v>
      </c>
      <c r="I18" s="40" t="s">
        <v>40</v>
      </c>
      <c r="J18" s="43" t="s">
        <v>41</v>
      </c>
      <c r="K18" s="40" t="s">
        <v>42</v>
      </c>
      <c r="L18" s="6" t="s">
        <v>43</v>
      </c>
      <c r="M18" s="23">
        <v>45842</v>
      </c>
      <c r="N18" s="7" t="s">
        <v>44</v>
      </c>
      <c r="O18" s="43"/>
    </row>
    <row r="19" s="35" customFormat="1" ht="28.5" spans="1:16">
      <c r="A19" s="6"/>
      <c r="B19" s="6"/>
      <c r="C19" s="6" t="s">
        <v>35</v>
      </c>
      <c r="D19" s="6" t="s">
        <v>36</v>
      </c>
      <c r="E19" s="7" t="s">
        <v>37</v>
      </c>
      <c r="F19" s="7" t="s">
        <v>38</v>
      </c>
      <c r="G19" s="8" t="str">
        <f t="shared" si="0"/>
        <v>vobc_17.14.1_3.3.2.1.1_18</v>
      </c>
      <c r="H19" s="6" t="s">
        <v>75</v>
      </c>
      <c r="I19" s="8" t="s">
        <v>40</v>
      </c>
      <c r="J19" s="21" t="s">
        <v>76</v>
      </c>
      <c r="K19" s="8" t="s">
        <v>47</v>
      </c>
      <c r="L19" s="6" t="s">
        <v>43</v>
      </c>
      <c r="M19" s="23">
        <v>45842</v>
      </c>
      <c r="N19" s="7" t="s">
        <v>44</v>
      </c>
      <c r="O19" s="42"/>
      <c r="P19" s="31"/>
    </row>
    <row r="20" s="35" customFormat="1" ht="185.25" spans="1:16">
      <c r="A20" s="6"/>
      <c r="B20" s="6"/>
      <c r="C20" s="6" t="s">
        <v>35</v>
      </c>
      <c r="D20" s="6" t="s">
        <v>36</v>
      </c>
      <c r="E20" s="7" t="s">
        <v>37</v>
      </c>
      <c r="F20" s="7" t="s">
        <v>38</v>
      </c>
      <c r="G20" s="8" t="str">
        <f t="shared" si="0"/>
        <v>vobc_17.14.1_3.3.2.1.1_19</v>
      </c>
      <c r="H20" s="6" t="s">
        <v>77</v>
      </c>
      <c r="I20" s="8" t="s">
        <v>40</v>
      </c>
      <c r="J20" s="21" t="s">
        <v>78</v>
      </c>
      <c r="K20" s="8" t="s">
        <v>50</v>
      </c>
      <c r="L20" s="6" t="s">
        <v>43</v>
      </c>
      <c r="M20" s="23">
        <v>45842</v>
      </c>
      <c r="N20" s="7" t="s">
        <v>44</v>
      </c>
      <c r="O20" s="42"/>
      <c r="P20" s="31"/>
    </row>
    <row r="21" s="35" customFormat="1" ht="28.5" spans="1:16">
      <c r="A21" s="6"/>
      <c r="B21" s="6"/>
      <c r="C21" s="6" t="s">
        <v>35</v>
      </c>
      <c r="D21" s="6" t="s">
        <v>36</v>
      </c>
      <c r="E21" s="7" t="s">
        <v>37</v>
      </c>
      <c r="F21" s="7" t="s">
        <v>38</v>
      </c>
      <c r="G21" s="8" t="str">
        <f t="shared" si="0"/>
        <v>vobc_17.14.1_3.3.2.1.1_20</v>
      </c>
      <c r="H21" s="6" t="s">
        <v>77</v>
      </c>
      <c r="I21" s="8" t="s">
        <v>40</v>
      </c>
      <c r="J21" s="21" t="s">
        <v>76</v>
      </c>
      <c r="K21" s="8" t="s">
        <v>47</v>
      </c>
      <c r="L21" s="6" t="s">
        <v>43</v>
      </c>
      <c r="M21" s="23">
        <v>45842</v>
      </c>
      <c r="N21" s="7" t="s">
        <v>44</v>
      </c>
      <c r="O21" s="42"/>
      <c r="P21" s="31"/>
    </row>
    <row r="22" s="35" customFormat="1" ht="185.25" spans="1:16">
      <c r="A22" s="6"/>
      <c r="B22" s="6"/>
      <c r="C22" s="6" t="s">
        <v>35</v>
      </c>
      <c r="D22" s="6" t="s">
        <v>36</v>
      </c>
      <c r="E22" s="7" t="s">
        <v>37</v>
      </c>
      <c r="F22" s="7" t="s">
        <v>38</v>
      </c>
      <c r="G22" s="8" t="str">
        <f t="shared" si="0"/>
        <v>vobc_17.14.1_3.3.2.1.1_21</v>
      </c>
      <c r="H22" s="6" t="s">
        <v>79</v>
      </c>
      <c r="I22" s="8" t="s">
        <v>40</v>
      </c>
      <c r="J22" s="21" t="s">
        <v>52</v>
      </c>
      <c r="K22" s="8" t="s">
        <v>53</v>
      </c>
      <c r="L22" s="6" t="s">
        <v>43</v>
      </c>
      <c r="M22" s="23">
        <v>45842</v>
      </c>
      <c r="N22" s="7" t="s">
        <v>44</v>
      </c>
      <c r="O22" s="42"/>
      <c r="P22" s="31"/>
    </row>
    <row r="23" s="35" customFormat="1" ht="28.5" spans="1:16">
      <c r="A23" s="6"/>
      <c r="B23" s="6"/>
      <c r="C23" s="6" t="s">
        <v>35</v>
      </c>
      <c r="D23" s="6" t="s">
        <v>36</v>
      </c>
      <c r="E23" s="7" t="s">
        <v>37</v>
      </c>
      <c r="F23" s="7" t="s">
        <v>38</v>
      </c>
      <c r="G23" s="8" t="str">
        <f t="shared" si="0"/>
        <v>vobc_17.14.1_3.3.2.1.1_22</v>
      </c>
      <c r="H23" s="6" t="s">
        <v>80</v>
      </c>
      <c r="I23" s="8" t="s">
        <v>40</v>
      </c>
      <c r="J23" s="21" t="s">
        <v>76</v>
      </c>
      <c r="K23" s="8" t="s">
        <v>47</v>
      </c>
      <c r="L23" s="6" t="s">
        <v>43</v>
      </c>
      <c r="M23" s="23">
        <v>45842</v>
      </c>
      <c r="N23" s="7" t="s">
        <v>44</v>
      </c>
      <c r="O23" s="42"/>
      <c r="P23" s="31"/>
    </row>
    <row r="24" s="35" customFormat="1" ht="185.25" spans="1:16">
      <c r="A24" s="6"/>
      <c r="B24" s="6"/>
      <c r="C24" s="6" t="s">
        <v>35</v>
      </c>
      <c r="D24" s="6" t="s">
        <v>36</v>
      </c>
      <c r="E24" s="7" t="s">
        <v>37</v>
      </c>
      <c r="F24" s="7" t="s">
        <v>38</v>
      </c>
      <c r="G24" s="8" t="str">
        <f t="shared" si="0"/>
        <v>vobc_17.14.1_3.3.2.1.1_23</v>
      </c>
      <c r="H24" s="6" t="s">
        <v>81</v>
      </c>
      <c r="I24" s="8" t="s">
        <v>40</v>
      </c>
      <c r="J24" s="21" t="s">
        <v>82</v>
      </c>
      <c r="K24" s="8" t="s">
        <v>57</v>
      </c>
      <c r="L24" s="6" t="s">
        <v>43</v>
      </c>
      <c r="M24" s="23">
        <v>45842</v>
      </c>
      <c r="N24" s="7" t="s">
        <v>44</v>
      </c>
      <c r="O24" s="42"/>
      <c r="P24" s="31"/>
    </row>
    <row r="25" s="35" customFormat="1" ht="28.5" spans="1:16">
      <c r="A25" s="6"/>
      <c r="B25" s="6"/>
      <c r="C25" s="6" t="s">
        <v>35</v>
      </c>
      <c r="D25" s="6" t="s">
        <v>36</v>
      </c>
      <c r="E25" s="7" t="s">
        <v>37</v>
      </c>
      <c r="F25" s="7" t="s">
        <v>38</v>
      </c>
      <c r="G25" s="8" t="str">
        <f t="shared" si="0"/>
        <v>vobc_17.14.1_3.3.2.1.1_24</v>
      </c>
      <c r="H25" s="6" t="s">
        <v>81</v>
      </c>
      <c r="I25" s="8" t="s">
        <v>40</v>
      </c>
      <c r="J25" s="21" t="s">
        <v>76</v>
      </c>
      <c r="K25" s="8" t="s">
        <v>47</v>
      </c>
      <c r="L25" s="6" t="s">
        <v>43</v>
      </c>
      <c r="M25" s="23">
        <v>45842</v>
      </c>
      <c r="N25" s="7" t="s">
        <v>44</v>
      </c>
      <c r="O25" s="42"/>
      <c r="P25" s="31"/>
    </row>
    <row r="26" s="35" customFormat="1" ht="185.25" spans="1:16">
      <c r="A26" s="6"/>
      <c r="B26" s="6"/>
      <c r="C26" s="6" t="s">
        <v>35</v>
      </c>
      <c r="D26" s="6" t="s">
        <v>36</v>
      </c>
      <c r="E26" s="7" t="s">
        <v>37</v>
      </c>
      <c r="F26" s="7" t="s">
        <v>38</v>
      </c>
      <c r="G26" s="8" t="str">
        <f t="shared" si="0"/>
        <v>vobc_17.14.1_3.3.2.1.1_25</v>
      </c>
      <c r="H26" s="6" t="s">
        <v>83</v>
      </c>
      <c r="I26" s="8" t="s">
        <v>40</v>
      </c>
      <c r="J26" s="21" t="s">
        <v>84</v>
      </c>
      <c r="K26" s="8" t="s">
        <v>60</v>
      </c>
      <c r="L26" s="6" t="s">
        <v>43</v>
      </c>
      <c r="M26" s="23">
        <v>45842</v>
      </c>
      <c r="N26" s="7" t="s">
        <v>44</v>
      </c>
      <c r="O26" s="42"/>
      <c r="P26" s="31"/>
    </row>
    <row r="27" s="35" customFormat="1" ht="28.5" spans="1:16">
      <c r="A27" s="6"/>
      <c r="B27" s="6"/>
      <c r="C27" s="6" t="s">
        <v>35</v>
      </c>
      <c r="D27" s="6" t="s">
        <v>36</v>
      </c>
      <c r="E27" s="7" t="s">
        <v>37</v>
      </c>
      <c r="F27" s="7" t="s">
        <v>38</v>
      </c>
      <c r="G27" s="8" t="str">
        <f t="shared" si="0"/>
        <v>vobc_17.14.1_3.3.2.1.1_26</v>
      </c>
      <c r="H27" s="6" t="s">
        <v>85</v>
      </c>
      <c r="I27" s="8" t="s">
        <v>40</v>
      </c>
      <c r="J27" s="21" t="s">
        <v>76</v>
      </c>
      <c r="K27" s="8" t="s">
        <v>47</v>
      </c>
      <c r="L27" s="6" t="s">
        <v>43</v>
      </c>
      <c r="M27" s="23">
        <v>45842</v>
      </c>
      <c r="N27" s="7" t="s">
        <v>44</v>
      </c>
      <c r="O27" s="42"/>
      <c r="P27" s="31"/>
    </row>
    <row r="28" s="35" customFormat="1" ht="185.25" spans="1:16">
      <c r="A28" s="6"/>
      <c r="B28" s="6"/>
      <c r="C28" s="6" t="s">
        <v>35</v>
      </c>
      <c r="D28" s="6" t="s">
        <v>36</v>
      </c>
      <c r="E28" s="7" t="s">
        <v>37</v>
      </c>
      <c r="F28" s="7" t="s">
        <v>38</v>
      </c>
      <c r="G28" s="8" t="str">
        <f t="shared" si="0"/>
        <v>vobc_17.14.1_3.3.2.1.1_27</v>
      </c>
      <c r="H28" s="6" t="s">
        <v>86</v>
      </c>
      <c r="I28" s="8" t="s">
        <v>40</v>
      </c>
      <c r="J28" s="21" t="s">
        <v>87</v>
      </c>
      <c r="K28" s="8" t="s">
        <v>64</v>
      </c>
      <c r="L28" s="6" t="s">
        <v>43</v>
      </c>
      <c r="M28" s="23">
        <v>45842</v>
      </c>
      <c r="N28" s="7" t="s">
        <v>44</v>
      </c>
      <c r="O28" s="42"/>
      <c r="P28" s="31"/>
    </row>
    <row r="29" s="35" customFormat="1" ht="28.5" spans="1:16">
      <c r="A29" s="6"/>
      <c r="B29" s="6"/>
      <c r="C29" s="6" t="s">
        <v>35</v>
      </c>
      <c r="D29" s="6" t="s">
        <v>36</v>
      </c>
      <c r="E29" s="7" t="s">
        <v>37</v>
      </c>
      <c r="F29" s="7" t="s">
        <v>38</v>
      </c>
      <c r="G29" s="8" t="str">
        <f t="shared" si="0"/>
        <v>vobc_17.14.1_3.3.2.1.1_28</v>
      </c>
      <c r="H29" s="6" t="s">
        <v>88</v>
      </c>
      <c r="I29" s="8" t="s">
        <v>40</v>
      </c>
      <c r="J29" s="21" t="s">
        <v>76</v>
      </c>
      <c r="K29" s="8" t="s">
        <v>47</v>
      </c>
      <c r="L29" s="6" t="s">
        <v>43</v>
      </c>
      <c r="M29" s="23">
        <v>45842</v>
      </c>
      <c r="N29" s="7" t="s">
        <v>44</v>
      </c>
      <c r="O29" s="42"/>
      <c r="P29" s="31"/>
    </row>
    <row r="30" s="35" customFormat="1" ht="185.25" spans="1:16">
      <c r="A30" s="6"/>
      <c r="B30" s="6"/>
      <c r="C30" s="6" t="s">
        <v>35</v>
      </c>
      <c r="D30" s="6" t="s">
        <v>36</v>
      </c>
      <c r="E30" s="7" t="s">
        <v>37</v>
      </c>
      <c r="F30" s="7" t="s">
        <v>38</v>
      </c>
      <c r="G30" s="8" t="str">
        <f t="shared" si="0"/>
        <v>vobc_17.14.1_3.3.2.1.1_29</v>
      </c>
      <c r="H30" s="6" t="s">
        <v>89</v>
      </c>
      <c r="I30" s="8" t="s">
        <v>40</v>
      </c>
      <c r="J30" s="21" t="s">
        <v>90</v>
      </c>
      <c r="K30" s="8" t="s">
        <v>68</v>
      </c>
      <c r="L30" s="6" t="s">
        <v>43</v>
      </c>
      <c r="M30" s="23">
        <v>45842</v>
      </c>
      <c r="N30" s="7" t="s">
        <v>44</v>
      </c>
      <c r="O30" s="42"/>
      <c r="P30" s="31"/>
    </row>
    <row r="31" s="35" customFormat="1" ht="28.5" spans="1:16">
      <c r="A31" s="6"/>
      <c r="B31" s="6"/>
      <c r="C31" s="6" t="s">
        <v>35</v>
      </c>
      <c r="D31" s="6" t="s">
        <v>36</v>
      </c>
      <c r="E31" s="7" t="s">
        <v>37</v>
      </c>
      <c r="F31" s="7" t="s">
        <v>38</v>
      </c>
      <c r="G31" s="8" t="str">
        <f t="shared" si="0"/>
        <v>vobc_17.14.1_3.3.2.1.1_30</v>
      </c>
      <c r="H31" s="6" t="s">
        <v>91</v>
      </c>
      <c r="I31" s="8" t="s">
        <v>40</v>
      </c>
      <c r="J31" s="21" t="s">
        <v>92</v>
      </c>
      <c r="K31" s="8" t="s">
        <v>47</v>
      </c>
      <c r="L31" s="6" t="s">
        <v>43</v>
      </c>
      <c r="M31" s="23">
        <v>45842</v>
      </c>
      <c r="N31" s="7" t="s">
        <v>44</v>
      </c>
      <c r="O31" s="42"/>
      <c r="P31" s="31"/>
    </row>
    <row r="32" s="35" customFormat="1" ht="185.25" spans="1:16">
      <c r="A32" s="6"/>
      <c r="B32" s="6"/>
      <c r="C32" s="6" t="s">
        <v>35</v>
      </c>
      <c r="D32" s="6" t="s">
        <v>36</v>
      </c>
      <c r="E32" s="7" t="s">
        <v>37</v>
      </c>
      <c r="F32" s="7" t="s">
        <v>38</v>
      </c>
      <c r="G32" s="8" t="str">
        <f t="shared" si="0"/>
        <v>vobc_17.14.1_3.3.2.1.1_31</v>
      </c>
      <c r="H32" s="6" t="s">
        <v>93</v>
      </c>
      <c r="I32" s="8" t="s">
        <v>40</v>
      </c>
      <c r="J32" s="21" t="s">
        <v>94</v>
      </c>
      <c r="K32" s="8" t="s">
        <v>72</v>
      </c>
      <c r="L32" s="6" t="s">
        <v>43</v>
      </c>
      <c r="M32" s="23">
        <v>45842</v>
      </c>
      <c r="N32" s="7" t="s">
        <v>44</v>
      </c>
      <c r="O32" s="42"/>
      <c r="P32" s="31"/>
    </row>
    <row r="33" s="35" customFormat="1" ht="28.5" spans="1:16">
      <c r="A33" s="6"/>
      <c r="B33" s="6"/>
      <c r="C33" s="6" t="s">
        <v>35</v>
      </c>
      <c r="D33" s="6" t="s">
        <v>36</v>
      </c>
      <c r="E33" s="7" t="s">
        <v>37</v>
      </c>
      <c r="F33" s="7" t="s">
        <v>38</v>
      </c>
      <c r="G33" s="8" t="str">
        <f t="shared" si="0"/>
        <v>vobc_17.14.1_3.3.2.1.1_32</v>
      </c>
      <c r="H33" s="6" t="s">
        <v>95</v>
      </c>
      <c r="I33" s="8" t="s">
        <v>40</v>
      </c>
      <c r="J33" s="21" t="s">
        <v>92</v>
      </c>
      <c r="K33" s="8" t="s">
        <v>47</v>
      </c>
      <c r="L33" s="6" t="s">
        <v>43</v>
      </c>
      <c r="M33" s="23">
        <v>45842</v>
      </c>
      <c r="N33" s="7" t="s">
        <v>44</v>
      </c>
      <c r="O33" s="42"/>
      <c r="P33" s="31"/>
    </row>
    <row r="34" s="35" customFormat="1" ht="171" spans="1:16">
      <c r="A34" s="6"/>
      <c r="B34" s="6"/>
      <c r="C34" s="6" t="s">
        <v>35</v>
      </c>
      <c r="D34" s="6" t="s">
        <v>36</v>
      </c>
      <c r="E34" s="7" t="s">
        <v>37</v>
      </c>
      <c r="F34" s="7" t="s">
        <v>38</v>
      </c>
      <c r="G34" s="8" t="str">
        <f t="shared" si="0"/>
        <v>vobc_17.14.1_3.3.2.1.1_33</v>
      </c>
      <c r="H34" s="6" t="s">
        <v>96</v>
      </c>
      <c r="I34" s="8" t="s">
        <v>40</v>
      </c>
      <c r="J34" s="21" t="s">
        <v>97</v>
      </c>
      <c r="K34" s="8" t="s">
        <v>98</v>
      </c>
      <c r="L34" s="6" t="s">
        <v>43</v>
      </c>
      <c r="M34" s="23">
        <v>45842</v>
      </c>
      <c r="N34" s="7" t="s">
        <v>44</v>
      </c>
      <c r="O34" s="42"/>
      <c r="P34" s="31"/>
    </row>
    <row r="35" s="35" customFormat="1" ht="28.5" spans="1:16">
      <c r="A35" s="6"/>
      <c r="B35" s="6"/>
      <c r="C35" s="6" t="s">
        <v>35</v>
      </c>
      <c r="D35" s="6" t="s">
        <v>36</v>
      </c>
      <c r="E35" s="7" t="s">
        <v>37</v>
      </c>
      <c r="F35" s="7" t="s">
        <v>38</v>
      </c>
      <c r="G35" s="8" t="str">
        <f t="shared" si="0"/>
        <v>vobc_17.14.1_3.3.2.1.1_34</v>
      </c>
      <c r="H35" s="6" t="s">
        <v>96</v>
      </c>
      <c r="I35" s="8" t="s">
        <v>40</v>
      </c>
      <c r="J35" s="21" t="s">
        <v>99</v>
      </c>
      <c r="K35" s="8" t="s">
        <v>47</v>
      </c>
      <c r="L35" s="6" t="s">
        <v>43</v>
      </c>
      <c r="M35" s="23">
        <v>45842</v>
      </c>
      <c r="N35" s="7" t="s">
        <v>44</v>
      </c>
      <c r="O35" s="42"/>
      <c r="P35" s="31"/>
    </row>
    <row r="36" s="35" customFormat="1" ht="171" spans="1:16">
      <c r="A36" s="6"/>
      <c r="B36" s="6"/>
      <c r="C36" s="6" t="s">
        <v>35</v>
      </c>
      <c r="D36" s="6" t="s">
        <v>36</v>
      </c>
      <c r="E36" s="7" t="s">
        <v>37</v>
      </c>
      <c r="F36" s="7" t="s">
        <v>38</v>
      </c>
      <c r="G36" s="8" t="str">
        <f t="shared" si="0"/>
        <v>vobc_17.14.1_3.3.2.1.1_35</v>
      </c>
      <c r="H36" s="6" t="s">
        <v>96</v>
      </c>
      <c r="I36" s="8" t="s">
        <v>40</v>
      </c>
      <c r="J36" s="21" t="s">
        <v>99</v>
      </c>
      <c r="K36" s="8" t="s">
        <v>98</v>
      </c>
      <c r="L36" s="6" t="s">
        <v>43</v>
      </c>
      <c r="M36" s="23">
        <v>45842</v>
      </c>
      <c r="N36" s="7" t="s">
        <v>44</v>
      </c>
      <c r="O36" s="42"/>
      <c r="P36" s="31"/>
    </row>
    <row r="37" s="35" customFormat="1" ht="28.5" spans="1:16">
      <c r="A37" s="6"/>
      <c r="B37" s="6"/>
      <c r="C37" s="6" t="s">
        <v>35</v>
      </c>
      <c r="D37" s="6" t="s">
        <v>36</v>
      </c>
      <c r="E37" s="7" t="s">
        <v>37</v>
      </c>
      <c r="F37" s="7" t="s">
        <v>38</v>
      </c>
      <c r="G37" s="8" t="str">
        <f t="shared" si="0"/>
        <v>vobc_17.14.1_3.3.2.1.1_36</v>
      </c>
      <c r="H37" s="6" t="s">
        <v>96</v>
      </c>
      <c r="I37" s="8" t="s">
        <v>40</v>
      </c>
      <c r="J37" s="21" t="s">
        <v>100</v>
      </c>
      <c r="K37" s="8" t="s">
        <v>47</v>
      </c>
      <c r="L37" s="6" t="s">
        <v>43</v>
      </c>
      <c r="M37" s="23">
        <v>45842</v>
      </c>
      <c r="N37" s="7" t="s">
        <v>44</v>
      </c>
      <c r="O37" s="42"/>
      <c r="P37" s="31"/>
    </row>
    <row r="38" s="35" customFormat="1" ht="28.5" spans="1:16">
      <c r="A38" s="6"/>
      <c r="B38" s="6"/>
      <c r="C38" s="6" t="s">
        <v>35</v>
      </c>
      <c r="D38" s="6" t="s">
        <v>36</v>
      </c>
      <c r="E38" s="7" t="s">
        <v>37</v>
      </c>
      <c r="F38" s="7" t="s">
        <v>38</v>
      </c>
      <c r="G38" s="8" t="str">
        <f t="shared" si="0"/>
        <v>vobc_17.14.1_3.3.2.1.1_37</v>
      </c>
      <c r="H38" s="6" t="s">
        <v>101</v>
      </c>
      <c r="I38" s="8" t="s">
        <v>40</v>
      </c>
      <c r="J38" s="21" t="s">
        <v>102</v>
      </c>
      <c r="K38" s="8" t="s">
        <v>103</v>
      </c>
      <c r="L38" s="6" t="s">
        <v>43</v>
      </c>
      <c r="M38" s="23">
        <v>45842</v>
      </c>
      <c r="N38" s="7" t="s">
        <v>44</v>
      </c>
      <c r="O38" s="42"/>
      <c r="P38" s="31"/>
    </row>
    <row r="39" ht="28.5" spans="1:15">
      <c r="A39" s="6"/>
      <c r="B39" s="6" t="s">
        <v>104</v>
      </c>
      <c r="C39" s="6" t="s">
        <v>35</v>
      </c>
      <c r="D39" s="6" t="s">
        <v>36</v>
      </c>
      <c r="E39" s="7" t="s">
        <v>37</v>
      </c>
      <c r="F39" s="7" t="s">
        <v>38</v>
      </c>
      <c r="G39" s="8" t="str">
        <f t="shared" ref="G39:G46" si="1">"vobc_17.14.1_3.3.2.1.1_"&amp;ROW()-1</f>
        <v>vobc_17.14.1_3.3.2.1.1_38</v>
      </c>
      <c r="H39" s="6" t="s">
        <v>105</v>
      </c>
      <c r="I39" s="8" t="s">
        <v>40</v>
      </c>
      <c r="J39" s="21" t="s">
        <v>106</v>
      </c>
      <c r="K39" s="8" t="s">
        <v>107</v>
      </c>
      <c r="L39" s="6" t="s">
        <v>43</v>
      </c>
      <c r="M39" s="23">
        <v>45842</v>
      </c>
      <c r="N39" s="7" t="s">
        <v>44</v>
      </c>
      <c r="O39" s="8"/>
    </row>
    <row r="40" ht="28.5" spans="1:15">
      <c r="A40" s="6"/>
      <c r="B40" s="6"/>
      <c r="C40" s="6" t="s">
        <v>35</v>
      </c>
      <c r="D40" s="6" t="s">
        <v>36</v>
      </c>
      <c r="E40" s="7" t="s">
        <v>37</v>
      </c>
      <c r="F40" s="7" t="s">
        <v>38</v>
      </c>
      <c r="G40" s="8" t="str">
        <f t="shared" si="1"/>
        <v>vobc_17.14.1_3.3.2.1.1_39</v>
      </c>
      <c r="H40" s="6" t="s">
        <v>108</v>
      </c>
      <c r="I40" s="8" t="s">
        <v>40</v>
      </c>
      <c r="J40" s="21" t="s">
        <v>109</v>
      </c>
      <c r="K40" s="8" t="s">
        <v>110</v>
      </c>
      <c r="L40" s="6" t="s">
        <v>43</v>
      </c>
      <c r="M40" s="23">
        <v>45842</v>
      </c>
      <c r="N40" s="7" t="s">
        <v>44</v>
      </c>
      <c r="O40" s="8"/>
    </row>
    <row r="41" ht="28.5" spans="1:15">
      <c r="A41" s="6"/>
      <c r="B41" s="6"/>
      <c r="C41" s="6" t="s">
        <v>35</v>
      </c>
      <c r="D41" s="6" t="s">
        <v>36</v>
      </c>
      <c r="E41" s="7" t="s">
        <v>37</v>
      </c>
      <c r="F41" s="7" t="s">
        <v>38</v>
      </c>
      <c r="G41" s="8" t="str">
        <f t="shared" si="1"/>
        <v>vobc_17.14.1_3.3.2.1.1_40</v>
      </c>
      <c r="H41" s="6" t="s">
        <v>111</v>
      </c>
      <c r="I41" s="8" t="s">
        <v>40</v>
      </c>
      <c r="J41" s="21" t="s">
        <v>112</v>
      </c>
      <c r="K41" s="8" t="s">
        <v>113</v>
      </c>
      <c r="L41" s="6" t="s">
        <v>43</v>
      </c>
      <c r="M41" s="23">
        <v>45842</v>
      </c>
      <c r="N41" s="7" t="s">
        <v>44</v>
      </c>
      <c r="O41" s="8"/>
    </row>
    <row r="42" ht="28.5" spans="1:15">
      <c r="A42" s="6"/>
      <c r="B42" s="6"/>
      <c r="C42" s="6" t="s">
        <v>35</v>
      </c>
      <c r="D42" s="6" t="s">
        <v>36</v>
      </c>
      <c r="E42" s="7" t="s">
        <v>37</v>
      </c>
      <c r="F42" s="7" t="s">
        <v>38</v>
      </c>
      <c r="G42" s="8" t="str">
        <f t="shared" si="1"/>
        <v>vobc_17.14.1_3.3.2.1.1_41</v>
      </c>
      <c r="H42" s="6" t="s">
        <v>114</v>
      </c>
      <c r="I42" s="8" t="s">
        <v>40</v>
      </c>
      <c r="J42" s="21" t="s">
        <v>115</v>
      </c>
      <c r="K42" s="8" t="s">
        <v>116</v>
      </c>
      <c r="L42" s="6" t="s">
        <v>43</v>
      </c>
      <c r="M42" s="23">
        <v>45842</v>
      </c>
      <c r="N42" s="7" t="s">
        <v>44</v>
      </c>
      <c r="O42" s="8"/>
    </row>
    <row r="43" ht="28.5" spans="1:15">
      <c r="A43" s="6"/>
      <c r="B43" s="9" t="s">
        <v>117</v>
      </c>
      <c r="C43" s="6" t="s">
        <v>35</v>
      </c>
      <c r="D43" s="6" t="s">
        <v>36</v>
      </c>
      <c r="E43" s="7" t="s">
        <v>37</v>
      </c>
      <c r="F43" s="7" t="s">
        <v>38</v>
      </c>
      <c r="G43" s="8" t="str">
        <f t="shared" si="1"/>
        <v>vobc_17.14.1_3.3.2.1.1_42</v>
      </c>
      <c r="H43" s="6" t="s">
        <v>118</v>
      </c>
      <c r="I43" s="8" t="s">
        <v>40</v>
      </c>
      <c r="J43" s="21" t="s">
        <v>119</v>
      </c>
      <c r="K43" s="8" t="s">
        <v>120</v>
      </c>
      <c r="L43" s="6" t="s">
        <v>43</v>
      </c>
      <c r="M43" s="23">
        <v>45842</v>
      </c>
      <c r="N43" s="7" t="s">
        <v>44</v>
      </c>
      <c r="O43" s="8"/>
    </row>
    <row r="44" ht="108" spans="1:15">
      <c r="A44" s="6"/>
      <c r="B44" s="9"/>
      <c r="C44" s="6" t="s">
        <v>35</v>
      </c>
      <c r="D44" s="6" t="s">
        <v>36</v>
      </c>
      <c r="E44" s="7" t="s">
        <v>37</v>
      </c>
      <c r="F44" s="7" t="s">
        <v>38</v>
      </c>
      <c r="G44" s="8" t="str">
        <f t="shared" si="1"/>
        <v>vobc_17.14.1_3.3.2.1.1_43</v>
      </c>
      <c r="H44" s="6" t="s">
        <v>121</v>
      </c>
      <c r="I44" s="8" t="s">
        <v>40</v>
      </c>
      <c r="J44" s="21" t="s">
        <v>119</v>
      </c>
      <c r="K44" s="22" t="s">
        <v>122</v>
      </c>
      <c r="L44" s="6" t="s">
        <v>43</v>
      </c>
      <c r="M44" s="23">
        <v>45842</v>
      </c>
      <c r="N44" s="7" t="s">
        <v>44</v>
      </c>
      <c r="O44" s="8"/>
    </row>
    <row r="45" ht="108" spans="1:15">
      <c r="A45" s="6"/>
      <c r="B45" s="9"/>
      <c r="C45" s="6" t="s">
        <v>35</v>
      </c>
      <c r="D45" s="6" t="s">
        <v>36</v>
      </c>
      <c r="E45" s="7" t="s">
        <v>37</v>
      </c>
      <c r="F45" s="7" t="s">
        <v>38</v>
      </c>
      <c r="G45" s="8" t="str">
        <f t="shared" si="1"/>
        <v>vobc_17.14.1_3.3.2.1.1_44</v>
      </c>
      <c r="H45" s="6" t="s">
        <v>123</v>
      </c>
      <c r="I45" s="8" t="s">
        <v>40</v>
      </c>
      <c r="J45" s="21" t="s">
        <v>119</v>
      </c>
      <c r="K45" s="22" t="s">
        <v>124</v>
      </c>
      <c r="L45" s="6" t="s">
        <v>43</v>
      </c>
      <c r="M45" s="23">
        <v>45842</v>
      </c>
      <c r="N45" s="7" t="s">
        <v>44</v>
      </c>
      <c r="O45" s="8"/>
    </row>
    <row r="46" ht="108" spans="1:15">
      <c r="A46" s="6" t="s">
        <v>125</v>
      </c>
      <c r="B46" s="6" t="s">
        <v>126</v>
      </c>
      <c r="C46" s="6" t="s">
        <v>35</v>
      </c>
      <c r="D46" s="6" t="s">
        <v>36</v>
      </c>
      <c r="E46" s="7" t="s">
        <v>37</v>
      </c>
      <c r="F46" s="7" t="s">
        <v>38</v>
      </c>
      <c r="G46" s="8" t="str">
        <f t="shared" ref="G46:G109" si="2">"vobc_17.14.1_3.3.2.1.2_"&amp;ROW()-1</f>
        <v>vobc_17.14.1_3.3.2.1.2_45</v>
      </c>
      <c r="H46" s="9" t="s">
        <v>127</v>
      </c>
      <c r="I46" s="8" t="s">
        <v>40</v>
      </c>
      <c r="J46" s="21" t="s">
        <v>119</v>
      </c>
      <c r="K46" s="22" t="s">
        <v>128</v>
      </c>
      <c r="L46" s="6" t="s">
        <v>43</v>
      </c>
      <c r="M46" s="23">
        <v>45842</v>
      </c>
      <c r="N46" s="7" t="s">
        <v>44</v>
      </c>
      <c r="O46" s="8"/>
    </row>
    <row r="47" ht="108" spans="1:15">
      <c r="A47" s="6"/>
      <c r="B47" s="6"/>
      <c r="C47" s="6" t="s">
        <v>35</v>
      </c>
      <c r="D47" s="6" t="s">
        <v>36</v>
      </c>
      <c r="E47" s="7" t="s">
        <v>37</v>
      </c>
      <c r="F47" s="7" t="s">
        <v>38</v>
      </c>
      <c r="G47" s="8" t="str">
        <f t="shared" si="2"/>
        <v>vobc_17.14.1_3.3.2.1.2_46</v>
      </c>
      <c r="H47" s="41" t="s">
        <v>129</v>
      </c>
      <c r="I47" s="8" t="s">
        <v>40</v>
      </c>
      <c r="J47" s="21" t="s">
        <v>106</v>
      </c>
      <c r="K47" s="22" t="s">
        <v>130</v>
      </c>
      <c r="L47" s="6" t="s">
        <v>43</v>
      </c>
      <c r="M47" s="23">
        <v>45842</v>
      </c>
      <c r="N47" s="7" t="s">
        <v>44</v>
      </c>
      <c r="O47" s="8"/>
    </row>
    <row r="48" ht="108" spans="1:15">
      <c r="A48" s="6"/>
      <c r="B48" s="6"/>
      <c r="C48" s="6" t="s">
        <v>35</v>
      </c>
      <c r="D48" s="6" t="s">
        <v>36</v>
      </c>
      <c r="E48" s="7" t="s">
        <v>37</v>
      </c>
      <c r="F48" s="7" t="s">
        <v>38</v>
      </c>
      <c r="G48" s="8" t="str">
        <f t="shared" si="2"/>
        <v>vobc_17.14.1_3.3.2.1.2_47</v>
      </c>
      <c r="H48" s="9" t="s">
        <v>131</v>
      </c>
      <c r="I48" s="8" t="s">
        <v>40</v>
      </c>
      <c r="J48" s="21" t="s">
        <v>109</v>
      </c>
      <c r="K48" s="22" t="s">
        <v>132</v>
      </c>
      <c r="L48" s="6" t="s">
        <v>43</v>
      </c>
      <c r="M48" s="23">
        <v>45842</v>
      </c>
      <c r="N48" s="7" t="s">
        <v>44</v>
      </c>
      <c r="O48" s="8"/>
    </row>
    <row r="49" ht="28.5" spans="1:15">
      <c r="A49" s="6"/>
      <c r="B49" s="6"/>
      <c r="C49" s="6" t="s">
        <v>35</v>
      </c>
      <c r="D49" s="6" t="s">
        <v>36</v>
      </c>
      <c r="E49" s="7" t="s">
        <v>37</v>
      </c>
      <c r="F49" s="7" t="s">
        <v>38</v>
      </c>
      <c r="G49" s="8" t="str">
        <f t="shared" si="2"/>
        <v>vobc_17.14.1_3.3.2.1.2_48</v>
      </c>
      <c r="H49" s="9" t="s">
        <v>133</v>
      </c>
      <c r="I49" s="8" t="s">
        <v>40</v>
      </c>
      <c r="J49" s="21" t="s">
        <v>134</v>
      </c>
      <c r="K49" s="8" t="s">
        <v>47</v>
      </c>
      <c r="L49" s="6" t="s">
        <v>43</v>
      </c>
      <c r="M49" s="23">
        <v>45842</v>
      </c>
      <c r="N49" s="7" t="s">
        <v>44</v>
      </c>
      <c r="O49" s="8"/>
    </row>
    <row r="50" ht="108" spans="1:15">
      <c r="A50" s="6"/>
      <c r="B50" s="6" t="s">
        <v>135</v>
      </c>
      <c r="C50" s="6" t="s">
        <v>35</v>
      </c>
      <c r="D50" s="6" t="s">
        <v>36</v>
      </c>
      <c r="E50" s="7" t="s">
        <v>37</v>
      </c>
      <c r="F50" s="7" t="s">
        <v>38</v>
      </c>
      <c r="G50" s="8" t="str">
        <f t="shared" si="2"/>
        <v>vobc_17.14.1_3.3.2.1.2_49</v>
      </c>
      <c r="H50" s="9" t="s">
        <v>136</v>
      </c>
      <c r="I50" s="8" t="s">
        <v>40</v>
      </c>
      <c r="J50" s="21" t="s">
        <v>137</v>
      </c>
      <c r="K50" s="22" t="s">
        <v>138</v>
      </c>
      <c r="L50" s="6" t="s">
        <v>43</v>
      </c>
      <c r="M50" s="23">
        <v>45842</v>
      </c>
      <c r="N50" s="7" t="s">
        <v>44</v>
      </c>
      <c r="O50" s="8"/>
    </row>
    <row r="51" ht="28.5" spans="1:15">
      <c r="A51" s="6"/>
      <c r="B51" s="6"/>
      <c r="C51" s="6" t="s">
        <v>35</v>
      </c>
      <c r="D51" s="6" t="s">
        <v>36</v>
      </c>
      <c r="E51" s="7" t="s">
        <v>37</v>
      </c>
      <c r="F51" s="7" t="s">
        <v>38</v>
      </c>
      <c r="G51" s="8" t="str">
        <f t="shared" si="2"/>
        <v>vobc_17.14.1_3.3.2.1.2_50</v>
      </c>
      <c r="H51" s="9" t="s">
        <v>139</v>
      </c>
      <c r="I51" s="8" t="s">
        <v>40</v>
      </c>
      <c r="J51" s="21" t="s">
        <v>140</v>
      </c>
      <c r="K51" s="8" t="s">
        <v>47</v>
      </c>
      <c r="L51" s="6" t="s">
        <v>43</v>
      </c>
      <c r="M51" s="23">
        <v>45842</v>
      </c>
      <c r="N51" s="7" t="s">
        <v>44</v>
      </c>
      <c r="O51" s="8"/>
    </row>
    <row r="52" ht="108" spans="1:15">
      <c r="A52" s="6"/>
      <c r="B52" s="6"/>
      <c r="C52" s="6" t="s">
        <v>35</v>
      </c>
      <c r="D52" s="6" t="s">
        <v>36</v>
      </c>
      <c r="E52" s="7" t="s">
        <v>37</v>
      </c>
      <c r="F52" s="7" t="s">
        <v>38</v>
      </c>
      <c r="G52" s="8" t="str">
        <f t="shared" si="2"/>
        <v>vobc_17.14.1_3.3.2.1.2_51</v>
      </c>
      <c r="H52" s="9" t="s">
        <v>141</v>
      </c>
      <c r="I52" s="8" t="s">
        <v>40</v>
      </c>
      <c r="J52" s="21" t="s">
        <v>142</v>
      </c>
      <c r="K52" s="22" t="s">
        <v>143</v>
      </c>
      <c r="L52" s="6" t="s">
        <v>43</v>
      </c>
      <c r="M52" s="23">
        <v>45842</v>
      </c>
      <c r="N52" s="7" t="s">
        <v>44</v>
      </c>
      <c r="O52" s="8"/>
    </row>
    <row r="53" ht="28.5" spans="1:15">
      <c r="A53" s="6"/>
      <c r="B53" s="6"/>
      <c r="C53" s="6" t="s">
        <v>35</v>
      </c>
      <c r="D53" s="6" t="s">
        <v>36</v>
      </c>
      <c r="E53" s="7" t="s">
        <v>37</v>
      </c>
      <c r="F53" s="7" t="s">
        <v>38</v>
      </c>
      <c r="G53" s="8" t="str">
        <f t="shared" si="2"/>
        <v>vobc_17.14.1_3.3.2.1.2_52</v>
      </c>
      <c r="H53" s="9" t="s">
        <v>144</v>
      </c>
      <c r="I53" s="8" t="s">
        <v>40</v>
      </c>
      <c r="J53" s="21" t="s">
        <v>140</v>
      </c>
      <c r="K53" s="8" t="s">
        <v>47</v>
      </c>
      <c r="L53" s="6" t="s">
        <v>43</v>
      </c>
      <c r="M53" s="23">
        <v>45842</v>
      </c>
      <c r="N53" s="7" t="s">
        <v>44</v>
      </c>
      <c r="O53" s="8"/>
    </row>
    <row r="54" ht="108" spans="1:15">
      <c r="A54" s="6"/>
      <c r="B54" s="6"/>
      <c r="C54" s="6" t="s">
        <v>35</v>
      </c>
      <c r="D54" s="6" t="s">
        <v>36</v>
      </c>
      <c r="E54" s="7" t="s">
        <v>37</v>
      </c>
      <c r="F54" s="7" t="s">
        <v>38</v>
      </c>
      <c r="G54" s="8" t="str">
        <f t="shared" si="2"/>
        <v>vobc_17.14.1_3.3.2.1.2_53</v>
      </c>
      <c r="H54" s="9" t="s">
        <v>145</v>
      </c>
      <c r="I54" s="8" t="s">
        <v>40</v>
      </c>
      <c r="J54" s="21" t="s">
        <v>146</v>
      </c>
      <c r="K54" s="22" t="s">
        <v>147</v>
      </c>
      <c r="L54" s="6" t="s">
        <v>43</v>
      </c>
      <c r="M54" s="23">
        <v>45842</v>
      </c>
      <c r="N54" s="7" t="s">
        <v>44</v>
      </c>
      <c r="O54" s="8"/>
    </row>
    <row r="55" ht="28.5" spans="1:15">
      <c r="A55" s="6"/>
      <c r="B55" s="6"/>
      <c r="C55" s="6" t="s">
        <v>35</v>
      </c>
      <c r="D55" s="6" t="s">
        <v>36</v>
      </c>
      <c r="E55" s="7" t="s">
        <v>37</v>
      </c>
      <c r="F55" s="7" t="s">
        <v>38</v>
      </c>
      <c r="G55" s="8" t="str">
        <f t="shared" si="2"/>
        <v>vobc_17.14.1_3.3.2.1.2_54</v>
      </c>
      <c r="H55" s="9" t="s">
        <v>148</v>
      </c>
      <c r="I55" s="8" t="s">
        <v>40</v>
      </c>
      <c r="J55" s="21" t="s">
        <v>140</v>
      </c>
      <c r="K55" s="8" t="s">
        <v>47</v>
      </c>
      <c r="L55" s="6" t="s">
        <v>43</v>
      </c>
      <c r="M55" s="23">
        <v>45842</v>
      </c>
      <c r="N55" s="7" t="s">
        <v>44</v>
      </c>
      <c r="O55" s="8"/>
    </row>
    <row r="56" ht="108" spans="1:15">
      <c r="A56" s="6"/>
      <c r="B56" s="6"/>
      <c r="C56" s="6" t="s">
        <v>35</v>
      </c>
      <c r="D56" s="6" t="s">
        <v>36</v>
      </c>
      <c r="E56" s="7" t="s">
        <v>37</v>
      </c>
      <c r="F56" s="7" t="s">
        <v>38</v>
      </c>
      <c r="G56" s="8" t="str">
        <f t="shared" si="2"/>
        <v>vobc_17.14.1_3.3.2.1.2_55</v>
      </c>
      <c r="H56" s="9" t="s">
        <v>149</v>
      </c>
      <c r="I56" s="8" t="s">
        <v>40</v>
      </c>
      <c r="J56" s="21" t="s">
        <v>150</v>
      </c>
      <c r="K56" s="22" t="s">
        <v>151</v>
      </c>
      <c r="L56" s="6" t="s">
        <v>43</v>
      </c>
      <c r="M56" s="23">
        <v>45842</v>
      </c>
      <c r="N56" s="7" t="s">
        <v>44</v>
      </c>
      <c r="O56" s="8"/>
    </row>
    <row r="57" ht="28.5" spans="1:15">
      <c r="A57" s="6"/>
      <c r="B57" s="6"/>
      <c r="C57" s="6" t="s">
        <v>35</v>
      </c>
      <c r="D57" s="6" t="s">
        <v>36</v>
      </c>
      <c r="E57" s="7" t="s">
        <v>37</v>
      </c>
      <c r="F57" s="7" t="s">
        <v>38</v>
      </c>
      <c r="G57" s="8" t="str">
        <f t="shared" si="2"/>
        <v>vobc_17.14.1_3.3.2.1.2_56</v>
      </c>
      <c r="H57" s="9" t="s">
        <v>152</v>
      </c>
      <c r="I57" s="8" t="s">
        <v>40</v>
      </c>
      <c r="J57" s="21" t="s">
        <v>140</v>
      </c>
      <c r="K57" s="8" t="s">
        <v>47</v>
      </c>
      <c r="L57" s="6" t="s">
        <v>43</v>
      </c>
      <c r="M57" s="23">
        <v>45842</v>
      </c>
      <c r="N57" s="7" t="s">
        <v>44</v>
      </c>
      <c r="O57" s="8"/>
    </row>
    <row r="58" ht="108" spans="1:15">
      <c r="A58" s="6"/>
      <c r="B58" s="6"/>
      <c r="C58" s="6" t="s">
        <v>35</v>
      </c>
      <c r="D58" s="6" t="s">
        <v>36</v>
      </c>
      <c r="E58" s="7" t="s">
        <v>37</v>
      </c>
      <c r="F58" s="7" t="s">
        <v>38</v>
      </c>
      <c r="G58" s="8" t="str">
        <f t="shared" si="2"/>
        <v>vobc_17.14.1_3.3.2.1.2_57</v>
      </c>
      <c r="H58" s="9" t="s">
        <v>153</v>
      </c>
      <c r="I58" s="8" t="s">
        <v>40</v>
      </c>
      <c r="J58" s="21" t="s">
        <v>154</v>
      </c>
      <c r="K58" s="22" t="s">
        <v>155</v>
      </c>
      <c r="L58" s="6" t="s">
        <v>43</v>
      </c>
      <c r="M58" s="23">
        <v>45842</v>
      </c>
      <c r="N58" s="7" t="s">
        <v>44</v>
      </c>
      <c r="O58" s="8"/>
    </row>
    <row r="59" ht="28.5" spans="1:15">
      <c r="A59" s="6"/>
      <c r="B59" s="6"/>
      <c r="C59" s="6" t="s">
        <v>35</v>
      </c>
      <c r="D59" s="6" t="s">
        <v>36</v>
      </c>
      <c r="E59" s="7" t="s">
        <v>37</v>
      </c>
      <c r="F59" s="7" t="s">
        <v>38</v>
      </c>
      <c r="G59" s="8" t="str">
        <f t="shared" si="2"/>
        <v>vobc_17.14.1_3.3.2.1.2_58</v>
      </c>
      <c r="H59" s="9" t="s">
        <v>156</v>
      </c>
      <c r="I59" s="8" t="s">
        <v>40</v>
      </c>
      <c r="J59" s="21" t="s">
        <v>140</v>
      </c>
      <c r="K59" s="8" t="s">
        <v>47</v>
      </c>
      <c r="L59" s="6" t="s">
        <v>43</v>
      </c>
      <c r="M59" s="23">
        <v>45842</v>
      </c>
      <c r="N59" s="7" t="s">
        <v>44</v>
      </c>
      <c r="O59" s="8"/>
    </row>
    <row r="60" ht="108" spans="1:15">
      <c r="A60" s="6"/>
      <c r="B60" s="6"/>
      <c r="C60" s="6" t="s">
        <v>35</v>
      </c>
      <c r="D60" s="6" t="s">
        <v>36</v>
      </c>
      <c r="E60" s="7" t="s">
        <v>37</v>
      </c>
      <c r="F60" s="7" t="s">
        <v>38</v>
      </c>
      <c r="G60" s="8" t="str">
        <f t="shared" si="2"/>
        <v>vobc_17.14.1_3.3.2.1.2_59</v>
      </c>
      <c r="H60" s="9" t="s">
        <v>157</v>
      </c>
      <c r="I60" s="8" t="s">
        <v>40</v>
      </c>
      <c r="J60" s="21" t="s">
        <v>158</v>
      </c>
      <c r="K60" s="22" t="s">
        <v>159</v>
      </c>
      <c r="L60" s="6" t="s">
        <v>43</v>
      </c>
      <c r="M60" s="23">
        <v>45842</v>
      </c>
      <c r="N60" s="7" t="s">
        <v>44</v>
      </c>
      <c r="O60" s="8"/>
    </row>
    <row r="61" ht="28.5" spans="1:15">
      <c r="A61" s="6"/>
      <c r="B61" s="6"/>
      <c r="C61" s="6" t="s">
        <v>35</v>
      </c>
      <c r="D61" s="6" t="s">
        <v>36</v>
      </c>
      <c r="E61" s="7" t="s">
        <v>37</v>
      </c>
      <c r="F61" s="7" t="s">
        <v>38</v>
      </c>
      <c r="G61" s="8" t="str">
        <f t="shared" si="2"/>
        <v>vobc_17.14.1_3.3.2.1.2_60</v>
      </c>
      <c r="H61" s="9" t="s">
        <v>160</v>
      </c>
      <c r="I61" s="8" t="s">
        <v>40</v>
      </c>
      <c r="J61" s="21" t="s">
        <v>140</v>
      </c>
      <c r="K61" s="8" t="s">
        <v>47</v>
      </c>
      <c r="L61" s="6" t="s">
        <v>43</v>
      </c>
      <c r="M61" s="23">
        <v>45842</v>
      </c>
      <c r="N61" s="7" t="s">
        <v>44</v>
      </c>
      <c r="O61" s="8"/>
    </row>
    <row r="62" ht="108" spans="1:15">
      <c r="A62" s="6"/>
      <c r="B62" s="6"/>
      <c r="C62" s="6" t="s">
        <v>35</v>
      </c>
      <c r="D62" s="6" t="s">
        <v>36</v>
      </c>
      <c r="E62" s="7" t="s">
        <v>37</v>
      </c>
      <c r="F62" s="7" t="s">
        <v>38</v>
      </c>
      <c r="G62" s="8" t="str">
        <f t="shared" si="2"/>
        <v>vobc_17.14.1_3.3.2.1.2_61</v>
      </c>
      <c r="H62" s="9" t="s">
        <v>161</v>
      </c>
      <c r="I62" s="8" t="s">
        <v>40</v>
      </c>
      <c r="J62" s="21" t="s">
        <v>162</v>
      </c>
      <c r="K62" s="22" t="s">
        <v>163</v>
      </c>
      <c r="L62" s="6" t="s">
        <v>43</v>
      </c>
      <c r="M62" s="23">
        <v>45842</v>
      </c>
      <c r="N62" s="7" t="s">
        <v>44</v>
      </c>
      <c r="O62" s="8"/>
    </row>
    <row r="63" ht="28.5" spans="1:15">
      <c r="A63" s="6"/>
      <c r="B63" s="6"/>
      <c r="C63" s="6" t="s">
        <v>35</v>
      </c>
      <c r="D63" s="6" t="s">
        <v>36</v>
      </c>
      <c r="E63" s="7" t="s">
        <v>37</v>
      </c>
      <c r="F63" s="7" t="s">
        <v>38</v>
      </c>
      <c r="G63" s="8" t="str">
        <f t="shared" si="2"/>
        <v>vobc_17.14.1_3.3.2.1.2_62</v>
      </c>
      <c r="H63" s="9" t="s">
        <v>164</v>
      </c>
      <c r="I63" s="8" t="s">
        <v>40</v>
      </c>
      <c r="J63" s="21" t="s">
        <v>140</v>
      </c>
      <c r="K63" s="8" t="s">
        <v>47</v>
      </c>
      <c r="L63" s="6" t="s">
        <v>43</v>
      </c>
      <c r="M63" s="23">
        <v>45842</v>
      </c>
      <c r="N63" s="7" t="s">
        <v>44</v>
      </c>
      <c r="O63" s="8"/>
    </row>
    <row r="64" ht="108" spans="1:15">
      <c r="A64" s="6"/>
      <c r="B64" s="6"/>
      <c r="C64" s="6" t="s">
        <v>35</v>
      </c>
      <c r="D64" s="6" t="s">
        <v>36</v>
      </c>
      <c r="E64" s="7" t="s">
        <v>37</v>
      </c>
      <c r="F64" s="7" t="s">
        <v>38</v>
      </c>
      <c r="G64" s="8" t="str">
        <f t="shared" si="2"/>
        <v>vobc_17.14.1_3.3.2.1.2_63</v>
      </c>
      <c r="H64" s="9" t="s">
        <v>165</v>
      </c>
      <c r="I64" s="8" t="s">
        <v>40</v>
      </c>
      <c r="J64" s="21" t="s">
        <v>166</v>
      </c>
      <c r="K64" s="22" t="s">
        <v>167</v>
      </c>
      <c r="L64" s="6" t="s">
        <v>43</v>
      </c>
      <c r="M64" s="23">
        <v>45842</v>
      </c>
      <c r="N64" s="7" t="s">
        <v>44</v>
      </c>
      <c r="O64" s="8"/>
    </row>
    <row r="65" ht="28.5" spans="1:15">
      <c r="A65" s="6"/>
      <c r="B65" s="6"/>
      <c r="C65" s="6" t="s">
        <v>35</v>
      </c>
      <c r="D65" s="6" t="s">
        <v>36</v>
      </c>
      <c r="E65" s="7" t="s">
        <v>37</v>
      </c>
      <c r="F65" s="7" t="s">
        <v>38</v>
      </c>
      <c r="G65" s="8" t="str">
        <f t="shared" si="2"/>
        <v>vobc_17.14.1_3.3.2.1.2_64</v>
      </c>
      <c r="H65" s="9" t="s">
        <v>168</v>
      </c>
      <c r="I65" s="8" t="s">
        <v>40</v>
      </c>
      <c r="J65" s="21" t="s">
        <v>140</v>
      </c>
      <c r="K65" s="8" t="s">
        <v>47</v>
      </c>
      <c r="L65" s="6" t="s">
        <v>43</v>
      </c>
      <c r="M65" s="23">
        <v>45842</v>
      </c>
      <c r="N65" s="7" t="s">
        <v>44</v>
      </c>
      <c r="O65" s="8"/>
    </row>
    <row r="66" ht="108" spans="1:15">
      <c r="A66" s="6"/>
      <c r="B66" s="6"/>
      <c r="C66" s="6" t="s">
        <v>35</v>
      </c>
      <c r="D66" s="6" t="s">
        <v>36</v>
      </c>
      <c r="E66" s="7" t="s">
        <v>37</v>
      </c>
      <c r="F66" s="7" t="s">
        <v>38</v>
      </c>
      <c r="G66" s="8" t="str">
        <f t="shared" si="2"/>
        <v>vobc_17.14.1_3.3.2.1.2_65</v>
      </c>
      <c r="H66" s="9" t="s">
        <v>169</v>
      </c>
      <c r="I66" s="8" t="s">
        <v>40</v>
      </c>
      <c r="J66" s="21" t="s">
        <v>170</v>
      </c>
      <c r="K66" s="22" t="s">
        <v>171</v>
      </c>
      <c r="L66" s="6" t="s">
        <v>43</v>
      </c>
      <c r="M66" s="23">
        <v>45842</v>
      </c>
      <c r="N66" s="7" t="s">
        <v>44</v>
      </c>
      <c r="O66" s="8"/>
    </row>
    <row r="67" ht="28.5" spans="1:15">
      <c r="A67" s="6"/>
      <c r="B67" s="6"/>
      <c r="C67" s="6" t="s">
        <v>35</v>
      </c>
      <c r="D67" s="6" t="s">
        <v>36</v>
      </c>
      <c r="E67" s="7" t="s">
        <v>37</v>
      </c>
      <c r="F67" s="7" t="s">
        <v>38</v>
      </c>
      <c r="G67" s="8" t="str">
        <f t="shared" si="2"/>
        <v>vobc_17.14.1_3.3.2.1.2_66</v>
      </c>
      <c r="H67" s="9" t="s">
        <v>172</v>
      </c>
      <c r="I67" s="8" t="s">
        <v>40</v>
      </c>
      <c r="J67" s="21" t="s">
        <v>140</v>
      </c>
      <c r="K67" s="8" t="s">
        <v>47</v>
      </c>
      <c r="L67" s="6" t="s">
        <v>43</v>
      </c>
      <c r="M67" s="23">
        <v>45842</v>
      </c>
      <c r="N67" s="7" t="s">
        <v>44</v>
      </c>
      <c r="O67" s="8"/>
    </row>
    <row r="68" ht="108" spans="1:15">
      <c r="A68" s="6"/>
      <c r="B68" s="6"/>
      <c r="C68" s="6" t="s">
        <v>35</v>
      </c>
      <c r="D68" s="6" t="s">
        <v>36</v>
      </c>
      <c r="E68" s="7" t="s">
        <v>37</v>
      </c>
      <c r="F68" s="7" t="s">
        <v>38</v>
      </c>
      <c r="G68" s="8" t="str">
        <f t="shared" si="2"/>
        <v>vobc_17.14.1_3.3.2.1.2_67</v>
      </c>
      <c r="H68" s="9" t="s">
        <v>173</v>
      </c>
      <c r="I68" s="8" t="s">
        <v>40</v>
      </c>
      <c r="J68" s="21" t="s">
        <v>174</v>
      </c>
      <c r="K68" s="22" t="s">
        <v>175</v>
      </c>
      <c r="L68" s="6" t="s">
        <v>43</v>
      </c>
      <c r="M68" s="23">
        <v>45842</v>
      </c>
      <c r="N68" s="7" t="s">
        <v>44</v>
      </c>
      <c r="O68" s="8"/>
    </row>
    <row r="69" ht="28.5" spans="1:15">
      <c r="A69" s="6"/>
      <c r="B69" s="6"/>
      <c r="C69" s="6" t="s">
        <v>35</v>
      </c>
      <c r="D69" s="6" t="s">
        <v>36</v>
      </c>
      <c r="E69" s="7" t="s">
        <v>37</v>
      </c>
      <c r="F69" s="7" t="s">
        <v>38</v>
      </c>
      <c r="G69" s="8" t="str">
        <f t="shared" si="2"/>
        <v>vobc_17.14.1_3.3.2.1.2_68</v>
      </c>
      <c r="H69" s="9" t="s">
        <v>176</v>
      </c>
      <c r="I69" s="8" t="s">
        <v>40</v>
      </c>
      <c r="J69" s="21" t="s">
        <v>140</v>
      </c>
      <c r="K69" s="8" t="s">
        <v>47</v>
      </c>
      <c r="L69" s="6" t="s">
        <v>43</v>
      </c>
      <c r="M69" s="23">
        <v>45842</v>
      </c>
      <c r="N69" s="7" t="s">
        <v>44</v>
      </c>
      <c r="O69" s="8"/>
    </row>
    <row r="70" ht="121.5" spans="1:15">
      <c r="A70" s="6"/>
      <c r="B70" s="6"/>
      <c r="C70" s="6" t="s">
        <v>35</v>
      </c>
      <c r="D70" s="6" t="s">
        <v>36</v>
      </c>
      <c r="E70" s="7" t="s">
        <v>37</v>
      </c>
      <c r="F70" s="7" t="s">
        <v>38</v>
      </c>
      <c r="G70" s="8" t="str">
        <f t="shared" si="2"/>
        <v>vobc_17.14.1_3.3.2.1.2_69</v>
      </c>
      <c r="H70" s="9" t="s">
        <v>177</v>
      </c>
      <c r="I70" s="8" t="s">
        <v>40</v>
      </c>
      <c r="J70" s="21" t="s">
        <v>178</v>
      </c>
      <c r="K70" s="22" t="s">
        <v>179</v>
      </c>
      <c r="L70" s="6" t="s">
        <v>43</v>
      </c>
      <c r="M70" s="23">
        <v>45842</v>
      </c>
      <c r="N70" s="7" t="s">
        <v>44</v>
      </c>
      <c r="O70" s="8"/>
    </row>
    <row r="71" ht="40.5" spans="1:15">
      <c r="A71" s="6"/>
      <c r="B71" s="6"/>
      <c r="C71" s="6" t="s">
        <v>35</v>
      </c>
      <c r="D71" s="6" t="s">
        <v>36</v>
      </c>
      <c r="E71" s="7" t="s">
        <v>37</v>
      </c>
      <c r="F71" s="7" t="s">
        <v>38</v>
      </c>
      <c r="G71" s="8" t="str">
        <f t="shared" si="2"/>
        <v>vobc_17.14.1_3.3.2.1.2_70</v>
      </c>
      <c r="H71" s="9" t="s">
        <v>180</v>
      </c>
      <c r="I71" s="8" t="s">
        <v>40</v>
      </c>
      <c r="J71" s="21" t="s">
        <v>140</v>
      </c>
      <c r="K71" s="8" t="s">
        <v>47</v>
      </c>
      <c r="L71" s="6" t="s">
        <v>43</v>
      </c>
      <c r="M71" s="23">
        <v>45842</v>
      </c>
      <c r="N71" s="7" t="s">
        <v>44</v>
      </c>
      <c r="O71" s="8"/>
    </row>
    <row r="72" ht="108" spans="1:15">
      <c r="A72" s="6"/>
      <c r="B72" s="6"/>
      <c r="C72" s="6" t="s">
        <v>35</v>
      </c>
      <c r="D72" s="6" t="s">
        <v>36</v>
      </c>
      <c r="E72" s="7" t="s">
        <v>37</v>
      </c>
      <c r="F72" s="7" t="s">
        <v>38</v>
      </c>
      <c r="G72" s="8" t="str">
        <f t="shared" si="2"/>
        <v>vobc_17.14.1_3.3.2.1.2_71</v>
      </c>
      <c r="H72" s="9" t="s">
        <v>181</v>
      </c>
      <c r="I72" s="8" t="s">
        <v>40</v>
      </c>
      <c r="J72" s="21" t="s">
        <v>182</v>
      </c>
      <c r="K72" s="22" t="s">
        <v>183</v>
      </c>
      <c r="L72" s="6" t="s">
        <v>43</v>
      </c>
      <c r="M72" s="23">
        <v>45842</v>
      </c>
      <c r="N72" s="7" t="s">
        <v>44</v>
      </c>
      <c r="O72" s="8"/>
    </row>
    <row r="73" ht="28.5" spans="1:15">
      <c r="A73" s="6"/>
      <c r="B73" s="6"/>
      <c r="C73" s="6" t="s">
        <v>35</v>
      </c>
      <c r="D73" s="6" t="s">
        <v>36</v>
      </c>
      <c r="E73" s="7" t="s">
        <v>37</v>
      </c>
      <c r="F73" s="7" t="s">
        <v>38</v>
      </c>
      <c r="G73" s="8" t="str">
        <f t="shared" si="2"/>
        <v>vobc_17.14.1_3.3.2.1.2_72</v>
      </c>
      <c r="H73" s="9" t="s">
        <v>184</v>
      </c>
      <c r="I73" s="8" t="s">
        <v>40</v>
      </c>
      <c r="J73" s="21" t="s">
        <v>140</v>
      </c>
      <c r="K73" s="8" t="s">
        <v>47</v>
      </c>
      <c r="L73" s="6" t="s">
        <v>43</v>
      </c>
      <c r="M73" s="23">
        <v>45842</v>
      </c>
      <c r="N73" s="7" t="s">
        <v>44</v>
      </c>
      <c r="O73" s="8"/>
    </row>
    <row r="74" ht="108" spans="1:15">
      <c r="A74" s="6"/>
      <c r="B74" s="6"/>
      <c r="C74" s="6" t="s">
        <v>35</v>
      </c>
      <c r="D74" s="6" t="s">
        <v>36</v>
      </c>
      <c r="E74" s="7" t="s">
        <v>37</v>
      </c>
      <c r="F74" s="7" t="s">
        <v>38</v>
      </c>
      <c r="G74" s="8" t="str">
        <f t="shared" si="2"/>
        <v>vobc_17.14.1_3.3.2.1.2_73</v>
      </c>
      <c r="H74" s="9" t="s">
        <v>185</v>
      </c>
      <c r="I74" s="8" t="s">
        <v>40</v>
      </c>
      <c r="J74" s="21" t="s">
        <v>186</v>
      </c>
      <c r="K74" s="22" t="s">
        <v>187</v>
      </c>
      <c r="L74" s="6" t="s">
        <v>43</v>
      </c>
      <c r="M74" s="23">
        <v>45842</v>
      </c>
      <c r="N74" s="7" t="s">
        <v>44</v>
      </c>
      <c r="O74" s="8"/>
    </row>
    <row r="75" ht="28.5" spans="1:15">
      <c r="A75" s="6"/>
      <c r="B75" s="6"/>
      <c r="C75" s="6" t="s">
        <v>35</v>
      </c>
      <c r="D75" s="6" t="s">
        <v>36</v>
      </c>
      <c r="E75" s="7" t="s">
        <v>37</v>
      </c>
      <c r="F75" s="7" t="s">
        <v>38</v>
      </c>
      <c r="G75" s="8" t="str">
        <f t="shared" si="2"/>
        <v>vobc_17.14.1_3.3.2.1.2_74</v>
      </c>
      <c r="H75" s="9" t="s">
        <v>188</v>
      </c>
      <c r="I75" s="8" t="s">
        <v>40</v>
      </c>
      <c r="J75" s="21" t="s">
        <v>140</v>
      </c>
      <c r="K75" s="8" t="s">
        <v>47</v>
      </c>
      <c r="L75" s="6" t="s">
        <v>43</v>
      </c>
      <c r="M75" s="23">
        <v>45842</v>
      </c>
      <c r="N75" s="7" t="s">
        <v>44</v>
      </c>
      <c r="O75" s="8"/>
    </row>
    <row r="76" ht="108" spans="1:15">
      <c r="A76" s="6"/>
      <c r="B76" s="6"/>
      <c r="C76" s="6" t="s">
        <v>35</v>
      </c>
      <c r="D76" s="6" t="s">
        <v>36</v>
      </c>
      <c r="E76" s="7" t="s">
        <v>37</v>
      </c>
      <c r="F76" s="7" t="s">
        <v>38</v>
      </c>
      <c r="G76" s="8" t="str">
        <f t="shared" si="2"/>
        <v>vobc_17.14.1_3.3.2.1.2_75</v>
      </c>
      <c r="H76" s="9" t="s">
        <v>189</v>
      </c>
      <c r="I76" s="8" t="s">
        <v>40</v>
      </c>
      <c r="J76" s="21" t="s">
        <v>190</v>
      </c>
      <c r="K76" s="22" t="s">
        <v>191</v>
      </c>
      <c r="L76" s="6" t="s">
        <v>43</v>
      </c>
      <c r="M76" s="23">
        <v>45842</v>
      </c>
      <c r="N76" s="7" t="s">
        <v>44</v>
      </c>
      <c r="O76" s="8"/>
    </row>
    <row r="77" ht="28.5" spans="1:15">
      <c r="A77" s="6"/>
      <c r="B77" s="6"/>
      <c r="C77" s="6" t="s">
        <v>35</v>
      </c>
      <c r="D77" s="6" t="s">
        <v>36</v>
      </c>
      <c r="E77" s="7" t="s">
        <v>37</v>
      </c>
      <c r="F77" s="7" t="s">
        <v>38</v>
      </c>
      <c r="G77" s="8" t="str">
        <f t="shared" si="2"/>
        <v>vobc_17.14.1_3.3.2.1.2_76</v>
      </c>
      <c r="H77" s="9" t="s">
        <v>192</v>
      </c>
      <c r="I77" s="8" t="s">
        <v>40</v>
      </c>
      <c r="J77" s="21" t="s">
        <v>140</v>
      </c>
      <c r="K77" s="8" t="s">
        <v>47</v>
      </c>
      <c r="L77" s="6" t="s">
        <v>43</v>
      </c>
      <c r="M77" s="23">
        <v>45842</v>
      </c>
      <c r="N77" s="7" t="s">
        <v>44</v>
      </c>
      <c r="O77" s="8"/>
    </row>
    <row r="78" ht="108" spans="1:15">
      <c r="A78" s="6"/>
      <c r="B78" s="6"/>
      <c r="C78" s="6" t="s">
        <v>35</v>
      </c>
      <c r="D78" s="6" t="s">
        <v>36</v>
      </c>
      <c r="E78" s="7" t="s">
        <v>37</v>
      </c>
      <c r="F78" s="7" t="s">
        <v>38</v>
      </c>
      <c r="G78" s="8" t="str">
        <f t="shared" si="2"/>
        <v>vobc_17.14.1_3.3.2.1.2_77</v>
      </c>
      <c r="H78" s="9" t="s">
        <v>193</v>
      </c>
      <c r="I78" s="8" t="s">
        <v>40</v>
      </c>
      <c r="J78" s="21" t="s">
        <v>194</v>
      </c>
      <c r="K78" s="22" t="s">
        <v>195</v>
      </c>
      <c r="L78" s="6" t="s">
        <v>43</v>
      </c>
      <c r="M78" s="23">
        <v>45842</v>
      </c>
      <c r="N78" s="7" t="s">
        <v>44</v>
      </c>
      <c r="O78" s="8"/>
    </row>
    <row r="79" ht="28.5" spans="1:15">
      <c r="A79" s="6"/>
      <c r="B79" s="6"/>
      <c r="C79" s="6" t="s">
        <v>35</v>
      </c>
      <c r="D79" s="6" t="s">
        <v>36</v>
      </c>
      <c r="E79" s="7" t="s">
        <v>37</v>
      </c>
      <c r="F79" s="7" t="s">
        <v>38</v>
      </c>
      <c r="G79" s="8" t="str">
        <f t="shared" si="2"/>
        <v>vobc_17.14.1_3.3.2.1.2_78</v>
      </c>
      <c r="H79" s="9" t="s">
        <v>196</v>
      </c>
      <c r="I79" s="8" t="s">
        <v>40</v>
      </c>
      <c r="J79" s="21" t="s">
        <v>140</v>
      </c>
      <c r="K79" s="8" t="s">
        <v>47</v>
      </c>
      <c r="L79" s="6" t="s">
        <v>43</v>
      </c>
      <c r="M79" s="23">
        <v>45842</v>
      </c>
      <c r="N79" s="7" t="s">
        <v>44</v>
      </c>
      <c r="O79" s="8"/>
    </row>
    <row r="80" ht="108" spans="1:15">
      <c r="A80" s="6"/>
      <c r="B80" s="6"/>
      <c r="C80" s="6" t="s">
        <v>35</v>
      </c>
      <c r="D80" s="6" t="s">
        <v>36</v>
      </c>
      <c r="E80" s="7" t="s">
        <v>37</v>
      </c>
      <c r="F80" s="7" t="s">
        <v>38</v>
      </c>
      <c r="G80" s="8" t="str">
        <f t="shared" si="2"/>
        <v>vobc_17.14.1_3.3.2.1.2_79</v>
      </c>
      <c r="H80" s="9" t="s">
        <v>197</v>
      </c>
      <c r="I80" s="8" t="s">
        <v>40</v>
      </c>
      <c r="J80" s="21" t="s">
        <v>198</v>
      </c>
      <c r="K80" s="22" t="s">
        <v>199</v>
      </c>
      <c r="L80" s="6" t="s">
        <v>43</v>
      </c>
      <c r="M80" s="23">
        <v>45842</v>
      </c>
      <c r="N80" s="7" t="s">
        <v>44</v>
      </c>
      <c r="O80" s="8"/>
    </row>
    <row r="81" ht="28.5" spans="1:15">
      <c r="A81" s="6"/>
      <c r="B81" s="6"/>
      <c r="C81" s="6" t="s">
        <v>35</v>
      </c>
      <c r="D81" s="6" t="s">
        <v>36</v>
      </c>
      <c r="E81" s="7" t="s">
        <v>37</v>
      </c>
      <c r="F81" s="7" t="s">
        <v>38</v>
      </c>
      <c r="G81" s="8" t="str">
        <f t="shared" si="2"/>
        <v>vobc_17.14.1_3.3.2.1.2_80</v>
      </c>
      <c r="H81" s="9" t="s">
        <v>200</v>
      </c>
      <c r="I81" s="8" t="s">
        <v>40</v>
      </c>
      <c r="J81" s="21" t="s">
        <v>140</v>
      </c>
      <c r="K81" s="8" t="s">
        <v>47</v>
      </c>
      <c r="L81" s="6" t="s">
        <v>43</v>
      </c>
      <c r="M81" s="23">
        <v>45842</v>
      </c>
      <c r="N81" s="7" t="s">
        <v>44</v>
      </c>
      <c r="O81" s="8"/>
    </row>
    <row r="82" ht="108" spans="1:15">
      <c r="A82" s="6"/>
      <c r="B82" s="6"/>
      <c r="C82" s="6" t="s">
        <v>35</v>
      </c>
      <c r="D82" s="6" t="s">
        <v>36</v>
      </c>
      <c r="E82" s="7" t="s">
        <v>37</v>
      </c>
      <c r="F82" s="7" t="s">
        <v>38</v>
      </c>
      <c r="G82" s="8" t="str">
        <f t="shared" si="2"/>
        <v>vobc_17.14.1_3.3.2.1.2_81</v>
      </c>
      <c r="H82" s="9" t="s">
        <v>201</v>
      </c>
      <c r="I82" s="8" t="s">
        <v>40</v>
      </c>
      <c r="J82" s="21" t="s">
        <v>202</v>
      </c>
      <c r="K82" s="22" t="s">
        <v>203</v>
      </c>
      <c r="L82" s="6" t="s">
        <v>43</v>
      </c>
      <c r="M82" s="23">
        <v>45842</v>
      </c>
      <c r="N82" s="7" t="s">
        <v>44</v>
      </c>
      <c r="O82" s="8"/>
    </row>
    <row r="83" ht="28.5" spans="1:15">
      <c r="A83" s="6"/>
      <c r="B83" s="6"/>
      <c r="C83" s="6" t="s">
        <v>35</v>
      </c>
      <c r="D83" s="6" t="s">
        <v>36</v>
      </c>
      <c r="E83" s="7" t="s">
        <v>37</v>
      </c>
      <c r="F83" s="7" t="s">
        <v>38</v>
      </c>
      <c r="G83" s="8" t="str">
        <f t="shared" si="2"/>
        <v>vobc_17.14.1_3.3.2.1.2_82</v>
      </c>
      <c r="H83" s="9" t="s">
        <v>204</v>
      </c>
      <c r="I83" s="8" t="s">
        <v>40</v>
      </c>
      <c r="J83" s="21" t="s">
        <v>140</v>
      </c>
      <c r="K83" s="8" t="s">
        <v>47</v>
      </c>
      <c r="L83" s="6" t="s">
        <v>43</v>
      </c>
      <c r="M83" s="23">
        <v>45842</v>
      </c>
      <c r="N83" s="7" t="s">
        <v>44</v>
      </c>
      <c r="O83" s="8"/>
    </row>
    <row r="84" ht="108" spans="1:15">
      <c r="A84" s="6"/>
      <c r="B84" s="6"/>
      <c r="C84" s="6" t="s">
        <v>35</v>
      </c>
      <c r="D84" s="6" t="s">
        <v>36</v>
      </c>
      <c r="E84" s="7" t="s">
        <v>37</v>
      </c>
      <c r="F84" s="7" t="s">
        <v>38</v>
      </c>
      <c r="G84" s="8" t="str">
        <f t="shared" si="2"/>
        <v>vobc_17.14.1_3.3.2.1.2_83</v>
      </c>
      <c r="H84" s="9" t="s">
        <v>205</v>
      </c>
      <c r="I84" s="8" t="s">
        <v>40</v>
      </c>
      <c r="J84" s="21" t="s">
        <v>206</v>
      </c>
      <c r="K84" s="22" t="s">
        <v>207</v>
      </c>
      <c r="L84" s="6" t="s">
        <v>43</v>
      </c>
      <c r="M84" s="23">
        <v>45842</v>
      </c>
      <c r="N84" s="7" t="s">
        <v>44</v>
      </c>
      <c r="O84" s="8"/>
    </row>
    <row r="85" ht="28.5" spans="1:15">
      <c r="A85" s="6"/>
      <c r="B85" s="6"/>
      <c r="C85" s="6" t="s">
        <v>35</v>
      </c>
      <c r="D85" s="6" t="s">
        <v>36</v>
      </c>
      <c r="E85" s="7" t="s">
        <v>37</v>
      </c>
      <c r="F85" s="7" t="s">
        <v>38</v>
      </c>
      <c r="G85" s="8" t="str">
        <f t="shared" si="2"/>
        <v>vobc_17.14.1_3.3.2.1.2_84</v>
      </c>
      <c r="H85" s="9" t="s">
        <v>208</v>
      </c>
      <c r="I85" s="8" t="s">
        <v>40</v>
      </c>
      <c r="J85" s="21" t="s">
        <v>140</v>
      </c>
      <c r="K85" s="8" t="s">
        <v>47</v>
      </c>
      <c r="L85" s="6" t="s">
        <v>43</v>
      </c>
      <c r="M85" s="23">
        <v>45842</v>
      </c>
      <c r="N85" s="7" t="s">
        <v>44</v>
      </c>
      <c r="O85" s="8"/>
    </row>
    <row r="86" ht="108" spans="1:15">
      <c r="A86" s="6"/>
      <c r="B86" s="6"/>
      <c r="C86" s="6" t="s">
        <v>35</v>
      </c>
      <c r="D86" s="6" t="s">
        <v>36</v>
      </c>
      <c r="E86" s="7" t="s">
        <v>37</v>
      </c>
      <c r="F86" s="7" t="s">
        <v>38</v>
      </c>
      <c r="G86" s="8" t="str">
        <f t="shared" si="2"/>
        <v>vobc_17.14.1_3.3.2.1.2_85</v>
      </c>
      <c r="H86" s="9" t="s">
        <v>209</v>
      </c>
      <c r="I86" s="8" t="s">
        <v>40</v>
      </c>
      <c r="J86" s="21" t="s">
        <v>210</v>
      </c>
      <c r="K86" s="22" t="s">
        <v>211</v>
      </c>
      <c r="L86" s="6" t="s">
        <v>43</v>
      </c>
      <c r="M86" s="23">
        <v>45842</v>
      </c>
      <c r="N86" s="7" t="s">
        <v>44</v>
      </c>
      <c r="O86" s="8"/>
    </row>
    <row r="87" ht="28.5" spans="1:15">
      <c r="A87" s="6"/>
      <c r="B87" s="6"/>
      <c r="C87" s="6" t="s">
        <v>35</v>
      </c>
      <c r="D87" s="6" t="s">
        <v>36</v>
      </c>
      <c r="E87" s="7" t="s">
        <v>37</v>
      </c>
      <c r="F87" s="7" t="s">
        <v>38</v>
      </c>
      <c r="G87" s="8" t="str">
        <f t="shared" si="2"/>
        <v>vobc_17.14.1_3.3.2.1.2_86</v>
      </c>
      <c r="H87" s="9" t="s">
        <v>212</v>
      </c>
      <c r="I87" s="8" t="s">
        <v>40</v>
      </c>
      <c r="J87" s="21" t="s">
        <v>140</v>
      </c>
      <c r="K87" s="8" t="s">
        <v>47</v>
      </c>
      <c r="L87" s="6" t="s">
        <v>43</v>
      </c>
      <c r="M87" s="23">
        <v>45842</v>
      </c>
      <c r="N87" s="7" t="s">
        <v>44</v>
      </c>
      <c r="O87" s="8"/>
    </row>
    <row r="88" ht="108" spans="1:15">
      <c r="A88" s="6"/>
      <c r="B88" s="6"/>
      <c r="C88" s="6" t="s">
        <v>35</v>
      </c>
      <c r="D88" s="6" t="s">
        <v>36</v>
      </c>
      <c r="E88" s="7" t="s">
        <v>37</v>
      </c>
      <c r="F88" s="7" t="s">
        <v>38</v>
      </c>
      <c r="G88" s="8" t="str">
        <f t="shared" si="2"/>
        <v>vobc_17.14.1_3.3.2.1.2_87</v>
      </c>
      <c r="H88" s="9" t="s">
        <v>213</v>
      </c>
      <c r="I88" s="8" t="s">
        <v>40</v>
      </c>
      <c r="J88" s="21" t="s">
        <v>214</v>
      </c>
      <c r="K88" s="22" t="s">
        <v>215</v>
      </c>
      <c r="L88" s="6" t="s">
        <v>43</v>
      </c>
      <c r="M88" s="23">
        <v>45842</v>
      </c>
      <c r="N88" s="7" t="s">
        <v>44</v>
      </c>
      <c r="O88" s="8"/>
    </row>
    <row r="89" ht="28.5" spans="1:15">
      <c r="A89" s="6"/>
      <c r="B89" s="6"/>
      <c r="C89" s="6" t="s">
        <v>35</v>
      </c>
      <c r="D89" s="6" t="s">
        <v>36</v>
      </c>
      <c r="E89" s="7" t="s">
        <v>37</v>
      </c>
      <c r="F89" s="7" t="s">
        <v>38</v>
      </c>
      <c r="G89" s="8" t="str">
        <f t="shared" si="2"/>
        <v>vobc_17.14.1_3.3.2.1.2_88</v>
      </c>
      <c r="H89" s="9" t="s">
        <v>216</v>
      </c>
      <c r="I89" s="8" t="s">
        <v>40</v>
      </c>
      <c r="J89" s="21" t="s">
        <v>140</v>
      </c>
      <c r="K89" s="8" t="s">
        <v>47</v>
      </c>
      <c r="L89" s="6" t="s">
        <v>43</v>
      </c>
      <c r="M89" s="23">
        <v>45842</v>
      </c>
      <c r="N89" s="7" t="s">
        <v>44</v>
      </c>
      <c r="O89" s="8"/>
    </row>
    <row r="90" ht="108" spans="1:15">
      <c r="A90" s="6"/>
      <c r="B90" s="6"/>
      <c r="C90" s="6" t="s">
        <v>35</v>
      </c>
      <c r="D90" s="6" t="s">
        <v>36</v>
      </c>
      <c r="E90" s="7" t="s">
        <v>37</v>
      </c>
      <c r="F90" s="7" t="s">
        <v>38</v>
      </c>
      <c r="G90" s="8" t="str">
        <f t="shared" si="2"/>
        <v>vobc_17.14.1_3.3.2.1.2_89</v>
      </c>
      <c r="H90" s="9" t="s">
        <v>217</v>
      </c>
      <c r="I90" s="8" t="s">
        <v>40</v>
      </c>
      <c r="J90" s="21" t="s">
        <v>218</v>
      </c>
      <c r="K90" s="22" t="s">
        <v>219</v>
      </c>
      <c r="L90" s="6" t="s">
        <v>43</v>
      </c>
      <c r="M90" s="23">
        <v>45842</v>
      </c>
      <c r="N90" s="7" t="s">
        <v>44</v>
      </c>
      <c r="O90" s="8"/>
    </row>
    <row r="91" ht="28.5" spans="1:15">
      <c r="A91" s="6"/>
      <c r="B91" s="6"/>
      <c r="C91" s="6" t="s">
        <v>35</v>
      </c>
      <c r="D91" s="6" t="s">
        <v>36</v>
      </c>
      <c r="E91" s="7" t="s">
        <v>37</v>
      </c>
      <c r="F91" s="7" t="s">
        <v>38</v>
      </c>
      <c r="G91" s="8" t="str">
        <f t="shared" si="2"/>
        <v>vobc_17.14.1_3.3.2.1.2_90</v>
      </c>
      <c r="H91" s="9" t="s">
        <v>220</v>
      </c>
      <c r="I91" s="8" t="s">
        <v>40</v>
      </c>
      <c r="J91" s="21" t="s">
        <v>140</v>
      </c>
      <c r="K91" s="8" t="s">
        <v>47</v>
      </c>
      <c r="L91" s="6" t="s">
        <v>43</v>
      </c>
      <c r="M91" s="23">
        <v>45842</v>
      </c>
      <c r="N91" s="7" t="s">
        <v>44</v>
      </c>
      <c r="O91" s="8"/>
    </row>
    <row r="92" ht="108" spans="1:15">
      <c r="A92" s="6"/>
      <c r="B92" s="6"/>
      <c r="C92" s="6" t="s">
        <v>35</v>
      </c>
      <c r="D92" s="6" t="s">
        <v>36</v>
      </c>
      <c r="E92" s="7" t="s">
        <v>37</v>
      </c>
      <c r="F92" s="7" t="s">
        <v>38</v>
      </c>
      <c r="G92" s="8" t="str">
        <f t="shared" si="2"/>
        <v>vobc_17.14.1_3.3.2.1.2_91</v>
      </c>
      <c r="H92" s="9" t="s">
        <v>201</v>
      </c>
      <c r="I92" s="8" t="s">
        <v>40</v>
      </c>
      <c r="J92" s="21" t="s">
        <v>221</v>
      </c>
      <c r="K92" s="22" t="s">
        <v>203</v>
      </c>
      <c r="L92" s="6" t="s">
        <v>43</v>
      </c>
      <c r="M92" s="23">
        <v>45842</v>
      </c>
      <c r="N92" s="7" t="s">
        <v>44</v>
      </c>
      <c r="O92" s="8"/>
    </row>
    <row r="93" ht="28.5" spans="1:15">
      <c r="A93" s="6"/>
      <c r="B93" s="6"/>
      <c r="C93" s="6" t="s">
        <v>35</v>
      </c>
      <c r="D93" s="6" t="s">
        <v>36</v>
      </c>
      <c r="E93" s="7" t="s">
        <v>37</v>
      </c>
      <c r="F93" s="7" t="s">
        <v>38</v>
      </c>
      <c r="G93" s="8" t="str">
        <f t="shared" si="2"/>
        <v>vobc_17.14.1_3.3.2.1.2_92</v>
      </c>
      <c r="H93" s="9" t="s">
        <v>204</v>
      </c>
      <c r="I93" s="8" t="s">
        <v>40</v>
      </c>
      <c r="J93" s="21" t="s">
        <v>140</v>
      </c>
      <c r="K93" s="8" t="s">
        <v>47</v>
      </c>
      <c r="L93" s="6" t="s">
        <v>43</v>
      </c>
      <c r="M93" s="23">
        <v>45842</v>
      </c>
      <c r="N93" s="7" t="s">
        <v>44</v>
      </c>
      <c r="O93" s="8"/>
    </row>
    <row r="94" ht="108" spans="1:15">
      <c r="A94" s="6"/>
      <c r="B94" s="6"/>
      <c r="C94" s="6" t="s">
        <v>35</v>
      </c>
      <c r="D94" s="6" t="s">
        <v>36</v>
      </c>
      <c r="E94" s="7" t="s">
        <v>37</v>
      </c>
      <c r="F94" s="7" t="s">
        <v>38</v>
      </c>
      <c r="G94" s="8" t="str">
        <f t="shared" si="2"/>
        <v>vobc_17.14.1_3.3.2.1.2_93</v>
      </c>
      <c r="H94" s="9" t="s">
        <v>222</v>
      </c>
      <c r="I94" s="8" t="s">
        <v>40</v>
      </c>
      <c r="J94" s="21" t="s">
        <v>223</v>
      </c>
      <c r="K94" s="22" t="s">
        <v>224</v>
      </c>
      <c r="L94" s="6" t="s">
        <v>43</v>
      </c>
      <c r="M94" s="23">
        <v>45842</v>
      </c>
      <c r="N94" s="7" t="s">
        <v>44</v>
      </c>
      <c r="O94" s="8"/>
    </row>
    <row r="95" ht="28.5" spans="1:15">
      <c r="A95" s="6"/>
      <c r="B95" s="6"/>
      <c r="C95" s="6" t="s">
        <v>35</v>
      </c>
      <c r="D95" s="6" t="s">
        <v>36</v>
      </c>
      <c r="E95" s="7" t="s">
        <v>37</v>
      </c>
      <c r="F95" s="7" t="s">
        <v>38</v>
      </c>
      <c r="G95" s="8" t="str">
        <f t="shared" si="2"/>
        <v>vobc_17.14.1_3.3.2.1.2_94</v>
      </c>
      <c r="H95" s="9" t="s">
        <v>225</v>
      </c>
      <c r="I95" s="8" t="s">
        <v>40</v>
      </c>
      <c r="J95" s="21" t="s">
        <v>140</v>
      </c>
      <c r="K95" s="8" t="s">
        <v>47</v>
      </c>
      <c r="L95" s="6" t="s">
        <v>43</v>
      </c>
      <c r="M95" s="23">
        <v>45842</v>
      </c>
      <c r="N95" s="7" t="s">
        <v>44</v>
      </c>
      <c r="O95" s="8"/>
    </row>
    <row r="96" ht="94.5" spans="1:15">
      <c r="A96" s="6"/>
      <c r="B96" s="6"/>
      <c r="C96" s="6" t="s">
        <v>35</v>
      </c>
      <c r="D96" s="6" t="s">
        <v>36</v>
      </c>
      <c r="E96" s="7" t="s">
        <v>37</v>
      </c>
      <c r="F96" s="7" t="s">
        <v>38</v>
      </c>
      <c r="G96" s="8" t="str">
        <f t="shared" si="2"/>
        <v>vobc_17.14.1_3.3.2.1.2_95</v>
      </c>
      <c r="H96" s="9" t="s">
        <v>226</v>
      </c>
      <c r="I96" s="8" t="s">
        <v>40</v>
      </c>
      <c r="J96" s="21" t="s">
        <v>227</v>
      </c>
      <c r="K96" s="22" t="s">
        <v>228</v>
      </c>
      <c r="L96" s="6" t="s">
        <v>43</v>
      </c>
      <c r="M96" s="23">
        <v>45842</v>
      </c>
      <c r="N96" s="7" t="s">
        <v>44</v>
      </c>
      <c r="O96" s="8"/>
    </row>
    <row r="97" ht="28.5" spans="1:15">
      <c r="A97" s="6"/>
      <c r="B97" s="6"/>
      <c r="C97" s="6" t="s">
        <v>35</v>
      </c>
      <c r="D97" s="6" t="s">
        <v>36</v>
      </c>
      <c r="E97" s="7" t="s">
        <v>37</v>
      </c>
      <c r="F97" s="7" t="s">
        <v>38</v>
      </c>
      <c r="G97" s="8" t="str">
        <f t="shared" si="2"/>
        <v>vobc_17.14.1_3.3.2.1.2_96</v>
      </c>
      <c r="H97" s="9" t="s">
        <v>229</v>
      </c>
      <c r="I97" s="8" t="s">
        <v>40</v>
      </c>
      <c r="J97" s="21" t="s">
        <v>140</v>
      </c>
      <c r="K97" s="8" t="s">
        <v>47</v>
      </c>
      <c r="L97" s="6" t="s">
        <v>43</v>
      </c>
      <c r="M97" s="23">
        <v>45842</v>
      </c>
      <c r="N97" s="7" t="s">
        <v>44</v>
      </c>
      <c r="O97" s="8"/>
    </row>
    <row r="98" ht="108" spans="1:15">
      <c r="A98" s="6"/>
      <c r="B98" s="6"/>
      <c r="C98" s="6" t="s">
        <v>35</v>
      </c>
      <c r="D98" s="6" t="s">
        <v>36</v>
      </c>
      <c r="E98" s="7" t="s">
        <v>37</v>
      </c>
      <c r="F98" s="7" t="s">
        <v>38</v>
      </c>
      <c r="G98" s="8" t="str">
        <f t="shared" si="2"/>
        <v>vobc_17.14.1_3.3.2.1.2_97</v>
      </c>
      <c r="H98" s="9" t="s">
        <v>230</v>
      </c>
      <c r="I98" s="8" t="s">
        <v>40</v>
      </c>
      <c r="J98" s="21" t="s">
        <v>231</v>
      </c>
      <c r="K98" s="22" t="s">
        <v>232</v>
      </c>
      <c r="L98" s="6" t="s">
        <v>43</v>
      </c>
      <c r="M98" s="23">
        <v>45842</v>
      </c>
      <c r="N98" s="7" t="s">
        <v>44</v>
      </c>
      <c r="O98" s="8"/>
    </row>
    <row r="99" ht="28.5" spans="1:15">
      <c r="A99" s="6"/>
      <c r="B99" s="6"/>
      <c r="C99" s="6" t="s">
        <v>35</v>
      </c>
      <c r="D99" s="6" t="s">
        <v>36</v>
      </c>
      <c r="E99" s="7" t="s">
        <v>37</v>
      </c>
      <c r="F99" s="7" t="s">
        <v>38</v>
      </c>
      <c r="G99" s="8" t="str">
        <f t="shared" si="2"/>
        <v>vobc_17.14.1_3.3.2.1.2_98</v>
      </c>
      <c r="H99" s="9" t="s">
        <v>233</v>
      </c>
      <c r="I99" s="8" t="s">
        <v>40</v>
      </c>
      <c r="J99" s="21" t="s">
        <v>140</v>
      </c>
      <c r="K99" s="8" t="s">
        <v>47</v>
      </c>
      <c r="L99" s="6" t="s">
        <v>43</v>
      </c>
      <c r="M99" s="23">
        <v>45842</v>
      </c>
      <c r="N99" s="7" t="s">
        <v>44</v>
      </c>
      <c r="O99" s="8"/>
    </row>
    <row r="100" ht="108" spans="1:15">
      <c r="A100" s="6"/>
      <c r="B100" s="6"/>
      <c r="C100" s="6" t="s">
        <v>35</v>
      </c>
      <c r="D100" s="6" t="s">
        <v>36</v>
      </c>
      <c r="E100" s="7" t="s">
        <v>37</v>
      </c>
      <c r="F100" s="7" t="s">
        <v>38</v>
      </c>
      <c r="G100" s="8" t="str">
        <f t="shared" si="2"/>
        <v>vobc_17.14.1_3.3.2.1.2_99</v>
      </c>
      <c r="H100" s="9" t="s">
        <v>234</v>
      </c>
      <c r="I100" s="8" t="s">
        <v>40</v>
      </c>
      <c r="J100" s="21" t="s">
        <v>235</v>
      </c>
      <c r="K100" s="22" t="s">
        <v>236</v>
      </c>
      <c r="L100" s="6" t="s">
        <v>43</v>
      </c>
      <c r="M100" s="23">
        <v>45842</v>
      </c>
      <c r="N100" s="7" t="s">
        <v>44</v>
      </c>
      <c r="O100" s="8"/>
    </row>
    <row r="101" ht="28.5" spans="1:15">
      <c r="A101" s="6"/>
      <c r="B101" s="6"/>
      <c r="C101" s="6" t="s">
        <v>35</v>
      </c>
      <c r="D101" s="6" t="s">
        <v>36</v>
      </c>
      <c r="E101" s="7" t="s">
        <v>37</v>
      </c>
      <c r="F101" s="7" t="s">
        <v>38</v>
      </c>
      <c r="G101" s="8" t="str">
        <f t="shared" si="2"/>
        <v>vobc_17.14.1_3.3.2.1.2_100</v>
      </c>
      <c r="H101" s="9" t="s">
        <v>237</v>
      </c>
      <c r="I101" s="8" t="s">
        <v>40</v>
      </c>
      <c r="J101" s="21" t="s">
        <v>140</v>
      </c>
      <c r="K101" s="8" t="s">
        <v>47</v>
      </c>
      <c r="L101" s="6" t="s">
        <v>43</v>
      </c>
      <c r="M101" s="23">
        <v>45842</v>
      </c>
      <c r="N101" s="7" t="s">
        <v>44</v>
      </c>
      <c r="O101" s="8"/>
    </row>
    <row r="102" ht="108" spans="1:15">
      <c r="A102" s="6"/>
      <c r="B102" s="6"/>
      <c r="C102" s="6" t="s">
        <v>35</v>
      </c>
      <c r="D102" s="6" t="s">
        <v>36</v>
      </c>
      <c r="E102" s="7" t="s">
        <v>37</v>
      </c>
      <c r="F102" s="7" t="s">
        <v>38</v>
      </c>
      <c r="G102" s="8" t="str">
        <f t="shared" si="2"/>
        <v>vobc_17.14.1_3.3.2.1.2_101</v>
      </c>
      <c r="H102" s="9" t="s">
        <v>238</v>
      </c>
      <c r="I102" s="8" t="s">
        <v>40</v>
      </c>
      <c r="J102" s="21" t="s">
        <v>239</v>
      </c>
      <c r="K102" s="22" t="s">
        <v>240</v>
      </c>
      <c r="L102" s="6" t="s">
        <v>43</v>
      </c>
      <c r="M102" s="23">
        <v>45842</v>
      </c>
      <c r="N102" s="7" t="s">
        <v>44</v>
      </c>
      <c r="O102" s="8"/>
    </row>
    <row r="103" ht="28.5" spans="1:15">
      <c r="A103" s="6"/>
      <c r="B103" s="6"/>
      <c r="C103" s="6" t="s">
        <v>35</v>
      </c>
      <c r="D103" s="6" t="s">
        <v>36</v>
      </c>
      <c r="E103" s="7" t="s">
        <v>37</v>
      </c>
      <c r="F103" s="7" t="s">
        <v>38</v>
      </c>
      <c r="G103" s="8" t="str">
        <f t="shared" si="2"/>
        <v>vobc_17.14.1_3.3.2.1.2_102</v>
      </c>
      <c r="H103" s="9" t="s">
        <v>241</v>
      </c>
      <c r="I103" s="8" t="s">
        <v>40</v>
      </c>
      <c r="J103" s="21" t="s">
        <v>140</v>
      </c>
      <c r="K103" s="8" t="s">
        <v>47</v>
      </c>
      <c r="L103" s="6" t="s">
        <v>43</v>
      </c>
      <c r="M103" s="23">
        <v>45842</v>
      </c>
      <c r="N103" s="7" t="s">
        <v>44</v>
      </c>
      <c r="O103" s="8"/>
    </row>
    <row r="104" ht="108" spans="1:15">
      <c r="A104" s="6"/>
      <c r="B104" s="6"/>
      <c r="C104" s="6" t="s">
        <v>35</v>
      </c>
      <c r="D104" s="6" t="s">
        <v>36</v>
      </c>
      <c r="E104" s="7" t="s">
        <v>37</v>
      </c>
      <c r="F104" s="7" t="s">
        <v>38</v>
      </c>
      <c r="G104" s="8" t="str">
        <f t="shared" si="2"/>
        <v>vobc_17.14.1_3.3.2.1.2_103</v>
      </c>
      <c r="H104" s="9" t="s">
        <v>242</v>
      </c>
      <c r="I104" s="8" t="s">
        <v>40</v>
      </c>
      <c r="J104" s="21" t="s">
        <v>243</v>
      </c>
      <c r="K104" s="22" t="s">
        <v>244</v>
      </c>
      <c r="L104" s="6" t="s">
        <v>43</v>
      </c>
      <c r="M104" s="23">
        <v>45842</v>
      </c>
      <c r="N104" s="7" t="s">
        <v>44</v>
      </c>
      <c r="O104" s="8"/>
    </row>
    <row r="105" ht="28.5" spans="1:15">
      <c r="A105" s="6"/>
      <c r="B105" s="6"/>
      <c r="C105" s="6" t="s">
        <v>35</v>
      </c>
      <c r="D105" s="6" t="s">
        <v>36</v>
      </c>
      <c r="E105" s="7" t="s">
        <v>37</v>
      </c>
      <c r="F105" s="7" t="s">
        <v>38</v>
      </c>
      <c r="G105" s="8" t="str">
        <f t="shared" si="2"/>
        <v>vobc_17.14.1_3.3.2.1.2_104</v>
      </c>
      <c r="H105" s="9" t="s">
        <v>245</v>
      </c>
      <c r="I105" s="8" t="s">
        <v>40</v>
      </c>
      <c r="J105" s="21" t="s">
        <v>140</v>
      </c>
      <c r="K105" s="8" t="s">
        <v>47</v>
      </c>
      <c r="L105" s="6" t="s">
        <v>43</v>
      </c>
      <c r="M105" s="23">
        <v>45842</v>
      </c>
      <c r="N105" s="7" t="s">
        <v>44</v>
      </c>
      <c r="O105" s="8"/>
    </row>
    <row r="106" ht="108" spans="1:15">
      <c r="A106" s="6"/>
      <c r="B106" s="6"/>
      <c r="C106" s="6" t="s">
        <v>35</v>
      </c>
      <c r="D106" s="6" t="s">
        <v>36</v>
      </c>
      <c r="E106" s="7" t="s">
        <v>37</v>
      </c>
      <c r="F106" s="7" t="s">
        <v>38</v>
      </c>
      <c r="G106" s="8" t="str">
        <f t="shared" si="2"/>
        <v>vobc_17.14.1_3.3.2.1.2_105</v>
      </c>
      <c r="H106" s="9" t="s">
        <v>246</v>
      </c>
      <c r="I106" s="8" t="s">
        <v>40</v>
      </c>
      <c r="J106" s="21" t="s">
        <v>247</v>
      </c>
      <c r="K106" s="22" t="s">
        <v>248</v>
      </c>
      <c r="L106" s="6" t="s">
        <v>43</v>
      </c>
      <c r="M106" s="23">
        <v>45842</v>
      </c>
      <c r="N106" s="7" t="s">
        <v>44</v>
      </c>
      <c r="O106" s="8"/>
    </row>
    <row r="107" ht="28.5" spans="1:15">
      <c r="A107" s="6"/>
      <c r="B107" s="6"/>
      <c r="C107" s="6" t="s">
        <v>35</v>
      </c>
      <c r="D107" s="6" t="s">
        <v>36</v>
      </c>
      <c r="E107" s="7" t="s">
        <v>37</v>
      </c>
      <c r="F107" s="7" t="s">
        <v>38</v>
      </c>
      <c r="G107" s="8" t="str">
        <f t="shared" si="2"/>
        <v>vobc_17.14.1_3.3.2.1.2_106</v>
      </c>
      <c r="H107" s="9" t="s">
        <v>249</v>
      </c>
      <c r="I107" s="8" t="s">
        <v>40</v>
      </c>
      <c r="J107" s="21" t="s">
        <v>140</v>
      </c>
      <c r="K107" s="8" t="s">
        <v>47</v>
      </c>
      <c r="L107" s="6" t="s">
        <v>43</v>
      </c>
      <c r="M107" s="23">
        <v>45842</v>
      </c>
      <c r="N107" s="7" t="s">
        <v>44</v>
      </c>
      <c r="O107" s="8"/>
    </row>
    <row r="108" ht="108" spans="1:15">
      <c r="A108" s="6"/>
      <c r="B108" s="6"/>
      <c r="C108" s="6" t="s">
        <v>35</v>
      </c>
      <c r="D108" s="6" t="s">
        <v>36</v>
      </c>
      <c r="E108" s="7" t="s">
        <v>37</v>
      </c>
      <c r="F108" s="7" t="s">
        <v>38</v>
      </c>
      <c r="G108" s="8" t="str">
        <f t="shared" si="2"/>
        <v>vobc_17.14.1_3.3.2.1.2_107</v>
      </c>
      <c r="H108" s="9" t="s">
        <v>246</v>
      </c>
      <c r="I108" s="8" t="s">
        <v>40</v>
      </c>
      <c r="J108" s="21" t="s">
        <v>250</v>
      </c>
      <c r="K108" s="22" t="s">
        <v>248</v>
      </c>
      <c r="L108" s="6" t="s">
        <v>43</v>
      </c>
      <c r="M108" s="23">
        <v>45842</v>
      </c>
      <c r="N108" s="7" t="s">
        <v>44</v>
      </c>
      <c r="O108" s="8"/>
    </row>
    <row r="109" ht="28.5" spans="1:15">
      <c r="A109" s="6"/>
      <c r="B109" s="6"/>
      <c r="C109" s="6" t="s">
        <v>35</v>
      </c>
      <c r="D109" s="6" t="s">
        <v>36</v>
      </c>
      <c r="E109" s="7" t="s">
        <v>37</v>
      </c>
      <c r="F109" s="7" t="s">
        <v>38</v>
      </c>
      <c r="G109" s="8" t="str">
        <f t="shared" si="2"/>
        <v>vobc_17.14.1_3.3.2.1.2_108</v>
      </c>
      <c r="H109" s="9" t="s">
        <v>249</v>
      </c>
      <c r="I109" s="8" t="s">
        <v>40</v>
      </c>
      <c r="J109" s="21" t="s">
        <v>140</v>
      </c>
      <c r="K109" s="8" t="s">
        <v>47</v>
      </c>
      <c r="L109" s="6" t="s">
        <v>43</v>
      </c>
      <c r="M109" s="23">
        <v>45842</v>
      </c>
      <c r="N109" s="7" t="s">
        <v>44</v>
      </c>
      <c r="O109" s="8"/>
    </row>
    <row r="110" ht="108" spans="1:15">
      <c r="A110" s="6"/>
      <c r="B110" s="6"/>
      <c r="C110" s="6" t="s">
        <v>35</v>
      </c>
      <c r="D110" s="6" t="s">
        <v>36</v>
      </c>
      <c r="E110" s="7" t="s">
        <v>37</v>
      </c>
      <c r="F110" s="7" t="s">
        <v>38</v>
      </c>
      <c r="G110" s="8" t="str">
        <f t="shared" ref="G110:G161" si="3">"vobc_17.14.1_3.3.2.1.2_"&amp;ROW()-1</f>
        <v>vobc_17.14.1_3.3.2.1.2_109</v>
      </c>
      <c r="H110" s="9" t="s">
        <v>251</v>
      </c>
      <c r="I110" s="8" t="s">
        <v>40</v>
      </c>
      <c r="J110" s="21" t="s">
        <v>252</v>
      </c>
      <c r="K110" s="22" t="s">
        <v>253</v>
      </c>
      <c r="L110" s="6" t="s">
        <v>43</v>
      </c>
      <c r="M110" s="23">
        <v>45842</v>
      </c>
      <c r="N110" s="7" t="s">
        <v>44</v>
      </c>
      <c r="O110" s="8"/>
    </row>
    <row r="111" ht="28.5" spans="1:15">
      <c r="A111" s="6"/>
      <c r="B111" s="6"/>
      <c r="C111" s="6" t="s">
        <v>35</v>
      </c>
      <c r="D111" s="6" t="s">
        <v>36</v>
      </c>
      <c r="E111" s="7" t="s">
        <v>37</v>
      </c>
      <c r="F111" s="7" t="s">
        <v>38</v>
      </c>
      <c r="G111" s="8" t="str">
        <f t="shared" si="3"/>
        <v>vobc_17.14.1_3.3.2.1.2_110</v>
      </c>
      <c r="H111" s="9" t="s">
        <v>254</v>
      </c>
      <c r="I111" s="8" t="s">
        <v>40</v>
      </c>
      <c r="J111" s="21" t="s">
        <v>140</v>
      </c>
      <c r="K111" s="8" t="s">
        <v>47</v>
      </c>
      <c r="L111" s="6" t="s">
        <v>43</v>
      </c>
      <c r="M111" s="23">
        <v>45842</v>
      </c>
      <c r="N111" s="7" t="s">
        <v>44</v>
      </c>
      <c r="O111" s="8"/>
    </row>
    <row r="112" ht="108" spans="1:15">
      <c r="A112" s="6"/>
      <c r="B112" s="6"/>
      <c r="C112" s="6" t="s">
        <v>35</v>
      </c>
      <c r="D112" s="6" t="s">
        <v>36</v>
      </c>
      <c r="E112" s="7" t="s">
        <v>37</v>
      </c>
      <c r="F112" s="7" t="s">
        <v>38</v>
      </c>
      <c r="G112" s="8" t="str">
        <f t="shared" si="3"/>
        <v>vobc_17.14.1_3.3.2.1.2_111</v>
      </c>
      <c r="H112" s="9" t="s">
        <v>255</v>
      </c>
      <c r="I112" s="8" t="s">
        <v>40</v>
      </c>
      <c r="J112" s="21" t="s">
        <v>256</v>
      </c>
      <c r="K112" s="22" t="s">
        <v>257</v>
      </c>
      <c r="L112" s="6" t="s">
        <v>43</v>
      </c>
      <c r="M112" s="23">
        <v>45842</v>
      </c>
      <c r="N112" s="7" t="s">
        <v>44</v>
      </c>
      <c r="O112" s="8"/>
    </row>
    <row r="113" ht="28.5" spans="1:15">
      <c r="A113" s="6"/>
      <c r="B113" s="6"/>
      <c r="C113" s="6" t="s">
        <v>35</v>
      </c>
      <c r="D113" s="6" t="s">
        <v>36</v>
      </c>
      <c r="E113" s="7" t="s">
        <v>37</v>
      </c>
      <c r="F113" s="7" t="s">
        <v>38</v>
      </c>
      <c r="G113" s="8" t="str">
        <f t="shared" si="3"/>
        <v>vobc_17.14.1_3.3.2.1.2_112</v>
      </c>
      <c r="H113" s="9" t="s">
        <v>258</v>
      </c>
      <c r="I113" s="8" t="s">
        <v>40</v>
      </c>
      <c r="J113" s="21" t="s">
        <v>140</v>
      </c>
      <c r="K113" s="8" t="s">
        <v>47</v>
      </c>
      <c r="L113" s="6" t="s">
        <v>43</v>
      </c>
      <c r="M113" s="23">
        <v>45842</v>
      </c>
      <c r="N113" s="7" t="s">
        <v>44</v>
      </c>
      <c r="O113" s="8"/>
    </row>
    <row r="114" ht="94.5" spans="1:15">
      <c r="A114" s="6"/>
      <c r="B114" s="6" t="s">
        <v>259</v>
      </c>
      <c r="C114" s="6" t="s">
        <v>35</v>
      </c>
      <c r="D114" s="6" t="s">
        <v>36</v>
      </c>
      <c r="E114" s="7" t="s">
        <v>37</v>
      </c>
      <c r="F114" s="7" t="s">
        <v>38</v>
      </c>
      <c r="G114" s="8" t="str">
        <f t="shared" si="3"/>
        <v>vobc_17.14.1_3.3.2.1.2_113</v>
      </c>
      <c r="H114" s="9" t="s">
        <v>260</v>
      </c>
      <c r="I114" s="8" t="s">
        <v>40</v>
      </c>
      <c r="J114" s="21" t="s">
        <v>256</v>
      </c>
      <c r="K114" s="22" t="s">
        <v>261</v>
      </c>
      <c r="L114" s="6" t="s">
        <v>43</v>
      </c>
      <c r="M114" s="23">
        <v>45842</v>
      </c>
      <c r="N114" s="7" t="s">
        <v>44</v>
      </c>
      <c r="O114" s="8"/>
    </row>
    <row r="115" ht="28.5" spans="1:15">
      <c r="A115" s="6"/>
      <c r="B115" s="6"/>
      <c r="C115" s="6" t="s">
        <v>35</v>
      </c>
      <c r="D115" s="6" t="s">
        <v>36</v>
      </c>
      <c r="E115" s="7" t="s">
        <v>37</v>
      </c>
      <c r="F115" s="7" t="s">
        <v>38</v>
      </c>
      <c r="G115" s="8" t="str">
        <f t="shared" si="3"/>
        <v>vobc_17.14.1_3.3.2.1.2_114</v>
      </c>
      <c r="H115" s="9" t="s">
        <v>262</v>
      </c>
      <c r="I115" s="8" t="s">
        <v>40</v>
      </c>
      <c r="J115" s="21" t="s">
        <v>137</v>
      </c>
      <c r="K115" s="8" t="s">
        <v>47</v>
      </c>
      <c r="L115" s="6" t="s">
        <v>43</v>
      </c>
      <c r="M115" s="23">
        <v>45842</v>
      </c>
      <c r="N115" s="7" t="s">
        <v>44</v>
      </c>
      <c r="O115" s="8"/>
    </row>
    <row r="116" ht="108" spans="1:15">
      <c r="A116" s="6"/>
      <c r="B116" s="6"/>
      <c r="C116" s="6" t="s">
        <v>35</v>
      </c>
      <c r="D116" s="6" t="s">
        <v>36</v>
      </c>
      <c r="E116" s="7" t="s">
        <v>37</v>
      </c>
      <c r="F116" s="7" t="s">
        <v>38</v>
      </c>
      <c r="G116" s="8" t="str">
        <f t="shared" si="3"/>
        <v>vobc_17.14.1_3.3.2.1.2_115</v>
      </c>
      <c r="H116" s="9" t="s">
        <v>263</v>
      </c>
      <c r="I116" s="8" t="s">
        <v>40</v>
      </c>
      <c r="J116" s="21" t="s">
        <v>142</v>
      </c>
      <c r="K116" s="22" t="s">
        <v>264</v>
      </c>
      <c r="L116" s="6" t="s">
        <v>43</v>
      </c>
      <c r="M116" s="23">
        <v>45842</v>
      </c>
      <c r="N116" s="7" t="s">
        <v>44</v>
      </c>
      <c r="O116" s="8"/>
    </row>
    <row r="117" ht="28.5" spans="1:15">
      <c r="A117" s="6"/>
      <c r="B117" s="6"/>
      <c r="C117" s="6" t="s">
        <v>35</v>
      </c>
      <c r="D117" s="6" t="s">
        <v>36</v>
      </c>
      <c r="E117" s="7" t="s">
        <v>37</v>
      </c>
      <c r="F117" s="7" t="s">
        <v>38</v>
      </c>
      <c r="G117" s="8" t="str">
        <f t="shared" si="3"/>
        <v>vobc_17.14.1_3.3.2.1.2_116</v>
      </c>
      <c r="H117" s="9" t="s">
        <v>265</v>
      </c>
      <c r="I117" s="8" t="s">
        <v>40</v>
      </c>
      <c r="J117" s="21" t="s">
        <v>140</v>
      </c>
      <c r="K117" s="8" t="s">
        <v>47</v>
      </c>
      <c r="L117" s="6" t="s">
        <v>43</v>
      </c>
      <c r="M117" s="23">
        <v>45842</v>
      </c>
      <c r="N117" s="7" t="s">
        <v>44</v>
      </c>
      <c r="O117" s="8"/>
    </row>
    <row r="118" ht="108" spans="1:15">
      <c r="A118" s="6"/>
      <c r="B118" s="6"/>
      <c r="C118" s="6" t="s">
        <v>35</v>
      </c>
      <c r="D118" s="6" t="s">
        <v>36</v>
      </c>
      <c r="E118" s="7" t="s">
        <v>37</v>
      </c>
      <c r="F118" s="7" t="s">
        <v>38</v>
      </c>
      <c r="G118" s="8" t="str">
        <f t="shared" si="3"/>
        <v>vobc_17.14.1_3.3.2.1.2_117</v>
      </c>
      <c r="H118" s="9" t="s">
        <v>266</v>
      </c>
      <c r="I118" s="8" t="s">
        <v>40</v>
      </c>
      <c r="J118" s="21" t="s">
        <v>146</v>
      </c>
      <c r="K118" s="22" t="s">
        <v>267</v>
      </c>
      <c r="L118" s="6" t="s">
        <v>43</v>
      </c>
      <c r="M118" s="23">
        <v>45842</v>
      </c>
      <c r="N118" s="7" t="s">
        <v>44</v>
      </c>
      <c r="O118" s="8"/>
    </row>
    <row r="119" ht="28.5" spans="1:15">
      <c r="A119" s="6"/>
      <c r="B119" s="6"/>
      <c r="C119" s="6" t="s">
        <v>35</v>
      </c>
      <c r="D119" s="6" t="s">
        <v>36</v>
      </c>
      <c r="E119" s="7" t="s">
        <v>37</v>
      </c>
      <c r="F119" s="7" t="s">
        <v>38</v>
      </c>
      <c r="G119" s="8" t="str">
        <f t="shared" si="3"/>
        <v>vobc_17.14.1_3.3.2.1.2_118</v>
      </c>
      <c r="H119" s="9" t="s">
        <v>268</v>
      </c>
      <c r="I119" s="8" t="s">
        <v>40</v>
      </c>
      <c r="J119" s="21" t="s">
        <v>140</v>
      </c>
      <c r="K119" s="8" t="s">
        <v>47</v>
      </c>
      <c r="L119" s="6" t="s">
        <v>43</v>
      </c>
      <c r="M119" s="23">
        <v>45842</v>
      </c>
      <c r="N119" s="7" t="s">
        <v>44</v>
      </c>
      <c r="O119" s="8"/>
    </row>
    <row r="120" ht="108" spans="1:15">
      <c r="A120" s="6"/>
      <c r="B120" s="6"/>
      <c r="C120" s="6" t="s">
        <v>35</v>
      </c>
      <c r="D120" s="6" t="s">
        <v>36</v>
      </c>
      <c r="E120" s="7" t="s">
        <v>37</v>
      </c>
      <c r="F120" s="7" t="s">
        <v>38</v>
      </c>
      <c r="G120" s="8" t="str">
        <f t="shared" si="3"/>
        <v>vobc_17.14.1_3.3.2.1.2_119</v>
      </c>
      <c r="H120" s="9" t="s">
        <v>269</v>
      </c>
      <c r="I120" s="8" t="s">
        <v>40</v>
      </c>
      <c r="J120" s="21" t="s">
        <v>150</v>
      </c>
      <c r="K120" s="22" t="s">
        <v>270</v>
      </c>
      <c r="L120" s="6" t="s">
        <v>43</v>
      </c>
      <c r="M120" s="23">
        <v>45842</v>
      </c>
      <c r="N120" s="7" t="s">
        <v>44</v>
      </c>
      <c r="O120" s="8"/>
    </row>
    <row r="121" ht="28.5" spans="1:15">
      <c r="A121" s="6"/>
      <c r="B121" s="6"/>
      <c r="C121" s="6" t="s">
        <v>35</v>
      </c>
      <c r="D121" s="6" t="s">
        <v>36</v>
      </c>
      <c r="E121" s="7" t="s">
        <v>37</v>
      </c>
      <c r="F121" s="7" t="s">
        <v>38</v>
      </c>
      <c r="G121" s="8" t="str">
        <f t="shared" si="3"/>
        <v>vobc_17.14.1_3.3.2.1.2_120</v>
      </c>
      <c r="H121" s="9" t="s">
        <v>271</v>
      </c>
      <c r="I121" s="8" t="s">
        <v>40</v>
      </c>
      <c r="J121" s="21" t="s">
        <v>140</v>
      </c>
      <c r="K121" s="8" t="s">
        <v>47</v>
      </c>
      <c r="L121" s="6" t="s">
        <v>43</v>
      </c>
      <c r="M121" s="23">
        <v>45842</v>
      </c>
      <c r="N121" s="7" t="s">
        <v>44</v>
      </c>
      <c r="O121" s="8"/>
    </row>
    <row r="122" ht="108" spans="1:15">
      <c r="A122" s="6"/>
      <c r="B122" s="6"/>
      <c r="C122" s="6" t="s">
        <v>35</v>
      </c>
      <c r="D122" s="6" t="s">
        <v>36</v>
      </c>
      <c r="E122" s="7" t="s">
        <v>37</v>
      </c>
      <c r="F122" s="7" t="s">
        <v>38</v>
      </c>
      <c r="G122" s="8" t="str">
        <f t="shared" si="3"/>
        <v>vobc_17.14.1_3.3.2.1.2_121</v>
      </c>
      <c r="H122" s="9" t="s">
        <v>272</v>
      </c>
      <c r="I122" s="8" t="s">
        <v>40</v>
      </c>
      <c r="J122" s="21" t="s">
        <v>154</v>
      </c>
      <c r="K122" s="22" t="s">
        <v>273</v>
      </c>
      <c r="L122" s="6" t="s">
        <v>43</v>
      </c>
      <c r="M122" s="23">
        <v>45842</v>
      </c>
      <c r="N122" s="7" t="s">
        <v>44</v>
      </c>
      <c r="O122" s="8"/>
    </row>
    <row r="123" ht="28.5" spans="1:15">
      <c r="A123" s="6"/>
      <c r="B123" s="6"/>
      <c r="C123" s="6" t="s">
        <v>35</v>
      </c>
      <c r="D123" s="6" t="s">
        <v>36</v>
      </c>
      <c r="E123" s="7" t="s">
        <v>37</v>
      </c>
      <c r="F123" s="7" t="s">
        <v>38</v>
      </c>
      <c r="G123" s="8" t="str">
        <f t="shared" si="3"/>
        <v>vobc_17.14.1_3.3.2.1.2_122</v>
      </c>
      <c r="H123" s="9" t="s">
        <v>274</v>
      </c>
      <c r="I123" s="8" t="s">
        <v>40</v>
      </c>
      <c r="J123" s="21" t="s">
        <v>140</v>
      </c>
      <c r="K123" s="8" t="s">
        <v>47</v>
      </c>
      <c r="L123" s="6" t="s">
        <v>43</v>
      </c>
      <c r="M123" s="23">
        <v>45842</v>
      </c>
      <c r="N123" s="7" t="s">
        <v>44</v>
      </c>
      <c r="O123" s="8"/>
    </row>
    <row r="124" ht="108" spans="1:15">
      <c r="A124" s="6"/>
      <c r="B124" s="6"/>
      <c r="C124" s="6" t="s">
        <v>35</v>
      </c>
      <c r="D124" s="6" t="s">
        <v>36</v>
      </c>
      <c r="E124" s="7" t="s">
        <v>37</v>
      </c>
      <c r="F124" s="7" t="s">
        <v>38</v>
      </c>
      <c r="G124" s="8" t="str">
        <f t="shared" si="3"/>
        <v>vobc_17.14.1_3.3.2.1.2_123</v>
      </c>
      <c r="H124" s="9" t="s">
        <v>275</v>
      </c>
      <c r="I124" s="8" t="s">
        <v>40</v>
      </c>
      <c r="J124" s="21" t="s">
        <v>158</v>
      </c>
      <c r="K124" s="22" t="s">
        <v>276</v>
      </c>
      <c r="L124" s="6" t="s">
        <v>43</v>
      </c>
      <c r="M124" s="23">
        <v>45842</v>
      </c>
      <c r="N124" s="7" t="s">
        <v>44</v>
      </c>
      <c r="O124" s="8"/>
    </row>
    <row r="125" ht="28.5" spans="1:15">
      <c r="A125" s="6"/>
      <c r="B125" s="6"/>
      <c r="C125" s="6" t="s">
        <v>35</v>
      </c>
      <c r="D125" s="6" t="s">
        <v>36</v>
      </c>
      <c r="E125" s="7" t="s">
        <v>37</v>
      </c>
      <c r="F125" s="7" t="s">
        <v>38</v>
      </c>
      <c r="G125" s="8" t="str">
        <f t="shared" si="3"/>
        <v>vobc_17.14.1_3.3.2.1.2_124</v>
      </c>
      <c r="H125" s="9" t="s">
        <v>277</v>
      </c>
      <c r="I125" s="8" t="s">
        <v>40</v>
      </c>
      <c r="J125" s="21" t="s">
        <v>140</v>
      </c>
      <c r="K125" s="8" t="s">
        <v>47</v>
      </c>
      <c r="L125" s="6" t="s">
        <v>43</v>
      </c>
      <c r="M125" s="23">
        <v>45842</v>
      </c>
      <c r="N125" s="7" t="s">
        <v>44</v>
      </c>
      <c r="O125" s="8"/>
    </row>
    <row r="126" ht="108" spans="1:15">
      <c r="A126" s="6"/>
      <c r="B126" s="6"/>
      <c r="C126" s="6" t="s">
        <v>35</v>
      </c>
      <c r="D126" s="6" t="s">
        <v>36</v>
      </c>
      <c r="E126" s="7" t="s">
        <v>37</v>
      </c>
      <c r="F126" s="7" t="s">
        <v>38</v>
      </c>
      <c r="G126" s="8" t="str">
        <f t="shared" si="3"/>
        <v>vobc_17.14.1_3.3.2.1.2_125</v>
      </c>
      <c r="H126" s="9" t="s">
        <v>278</v>
      </c>
      <c r="I126" s="8" t="s">
        <v>40</v>
      </c>
      <c r="J126" s="21" t="s">
        <v>162</v>
      </c>
      <c r="K126" s="22" t="s">
        <v>279</v>
      </c>
      <c r="L126" s="6" t="s">
        <v>43</v>
      </c>
      <c r="M126" s="23">
        <v>45842</v>
      </c>
      <c r="N126" s="7" t="s">
        <v>44</v>
      </c>
      <c r="O126" s="8"/>
    </row>
    <row r="127" ht="28.5" spans="1:15">
      <c r="A127" s="6"/>
      <c r="B127" s="6"/>
      <c r="C127" s="6" t="s">
        <v>35</v>
      </c>
      <c r="D127" s="6" t="s">
        <v>36</v>
      </c>
      <c r="E127" s="7" t="s">
        <v>37</v>
      </c>
      <c r="F127" s="7" t="s">
        <v>38</v>
      </c>
      <c r="G127" s="8" t="str">
        <f t="shared" si="3"/>
        <v>vobc_17.14.1_3.3.2.1.2_126</v>
      </c>
      <c r="H127" s="9" t="s">
        <v>280</v>
      </c>
      <c r="I127" s="8" t="s">
        <v>40</v>
      </c>
      <c r="J127" s="21" t="s">
        <v>140</v>
      </c>
      <c r="K127" s="8" t="s">
        <v>47</v>
      </c>
      <c r="L127" s="6" t="s">
        <v>43</v>
      </c>
      <c r="M127" s="23">
        <v>45842</v>
      </c>
      <c r="N127" s="7" t="s">
        <v>44</v>
      </c>
      <c r="O127" s="8"/>
    </row>
    <row r="128" ht="108" spans="1:15">
      <c r="A128" s="6"/>
      <c r="B128" s="6"/>
      <c r="C128" s="6" t="s">
        <v>35</v>
      </c>
      <c r="D128" s="6" t="s">
        <v>36</v>
      </c>
      <c r="E128" s="7" t="s">
        <v>37</v>
      </c>
      <c r="F128" s="7" t="s">
        <v>38</v>
      </c>
      <c r="G128" s="8" t="str">
        <f t="shared" si="3"/>
        <v>vobc_17.14.1_3.3.2.1.2_127</v>
      </c>
      <c r="H128" s="9" t="s">
        <v>281</v>
      </c>
      <c r="I128" s="8" t="s">
        <v>40</v>
      </c>
      <c r="J128" s="21" t="s">
        <v>166</v>
      </c>
      <c r="K128" s="22" t="s">
        <v>282</v>
      </c>
      <c r="L128" s="6" t="s">
        <v>43</v>
      </c>
      <c r="M128" s="23">
        <v>45842</v>
      </c>
      <c r="N128" s="7" t="s">
        <v>44</v>
      </c>
      <c r="O128" s="8"/>
    </row>
    <row r="129" ht="28.5" spans="1:15">
      <c r="A129" s="6"/>
      <c r="B129" s="6"/>
      <c r="C129" s="6" t="s">
        <v>35</v>
      </c>
      <c r="D129" s="6" t="s">
        <v>36</v>
      </c>
      <c r="E129" s="7" t="s">
        <v>37</v>
      </c>
      <c r="F129" s="7" t="s">
        <v>38</v>
      </c>
      <c r="G129" s="8" t="str">
        <f t="shared" si="3"/>
        <v>vobc_17.14.1_3.3.2.1.2_128</v>
      </c>
      <c r="H129" s="9" t="s">
        <v>283</v>
      </c>
      <c r="I129" s="8" t="s">
        <v>40</v>
      </c>
      <c r="J129" s="21" t="s">
        <v>140</v>
      </c>
      <c r="K129" s="8" t="s">
        <v>47</v>
      </c>
      <c r="L129" s="6" t="s">
        <v>43</v>
      </c>
      <c r="M129" s="23">
        <v>45842</v>
      </c>
      <c r="N129" s="7" t="s">
        <v>44</v>
      </c>
      <c r="O129" s="8"/>
    </row>
    <row r="130" ht="108" spans="1:15">
      <c r="A130" s="6"/>
      <c r="B130" s="6"/>
      <c r="C130" s="6" t="s">
        <v>35</v>
      </c>
      <c r="D130" s="6" t="s">
        <v>36</v>
      </c>
      <c r="E130" s="7" t="s">
        <v>37</v>
      </c>
      <c r="F130" s="7" t="s">
        <v>38</v>
      </c>
      <c r="G130" s="8" t="str">
        <f t="shared" si="3"/>
        <v>vobc_17.14.1_3.3.2.1.2_129</v>
      </c>
      <c r="H130" s="9" t="s">
        <v>284</v>
      </c>
      <c r="I130" s="8" t="s">
        <v>40</v>
      </c>
      <c r="J130" s="21" t="s">
        <v>170</v>
      </c>
      <c r="K130" s="22" t="s">
        <v>285</v>
      </c>
      <c r="L130" s="6" t="s">
        <v>43</v>
      </c>
      <c r="M130" s="23">
        <v>45842</v>
      </c>
      <c r="N130" s="7" t="s">
        <v>44</v>
      </c>
      <c r="O130" s="8"/>
    </row>
    <row r="131" ht="28.5" spans="1:15">
      <c r="A131" s="6"/>
      <c r="B131" s="6"/>
      <c r="C131" s="6" t="s">
        <v>35</v>
      </c>
      <c r="D131" s="6" t="s">
        <v>36</v>
      </c>
      <c r="E131" s="7" t="s">
        <v>37</v>
      </c>
      <c r="F131" s="7" t="s">
        <v>38</v>
      </c>
      <c r="G131" s="8" t="str">
        <f t="shared" si="3"/>
        <v>vobc_17.14.1_3.3.2.1.2_130</v>
      </c>
      <c r="H131" s="9" t="s">
        <v>286</v>
      </c>
      <c r="I131" s="8" t="s">
        <v>40</v>
      </c>
      <c r="J131" s="21" t="s">
        <v>140</v>
      </c>
      <c r="K131" s="8" t="s">
        <v>47</v>
      </c>
      <c r="L131" s="6" t="s">
        <v>43</v>
      </c>
      <c r="M131" s="23">
        <v>45842</v>
      </c>
      <c r="N131" s="7" t="s">
        <v>44</v>
      </c>
      <c r="O131" s="8"/>
    </row>
    <row r="132" ht="108" spans="1:15">
      <c r="A132" s="6"/>
      <c r="B132" s="6"/>
      <c r="C132" s="6" t="s">
        <v>35</v>
      </c>
      <c r="D132" s="6" t="s">
        <v>36</v>
      </c>
      <c r="E132" s="7" t="s">
        <v>37</v>
      </c>
      <c r="F132" s="7" t="s">
        <v>38</v>
      </c>
      <c r="G132" s="8" t="str">
        <f t="shared" si="3"/>
        <v>vobc_17.14.1_3.3.2.1.2_131</v>
      </c>
      <c r="H132" s="9" t="s">
        <v>287</v>
      </c>
      <c r="I132" s="8" t="s">
        <v>40</v>
      </c>
      <c r="J132" s="21" t="s">
        <v>174</v>
      </c>
      <c r="K132" s="22" t="s">
        <v>288</v>
      </c>
      <c r="L132" s="6" t="s">
        <v>43</v>
      </c>
      <c r="M132" s="23">
        <v>45842</v>
      </c>
      <c r="N132" s="7" t="s">
        <v>44</v>
      </c>
      <c r="O132" s="8"/>
    </row>
    <row r="133" ht="28.5" spans="1:15">
      <c r="A133" s="6"/>
      <c r="B133" s="6"/>
      <c r="C133" s="6" t="s">
        <v>35</v>
      </c>
      <c r="D133" s="6" t="s">
        <v>36</v>
      </c>
      <c r="E133" s="7" t="s">
        <v>37</v>
      </c>
      <c r="F133" s="7" t="s">
        <v>38</v>
      </c>
      <c r="G133" s="8" t="str">
        <f t="shared" si="3"/>
        <v>vobc_17.14.1_3.3.2.1.2_132</v>
      </c>
      <c r="H133" s="9" t="s">
        <v>289</v>
      </c>
      <c r="I133" s="8" t="s">
        <v>40</v>
      </c>
      <c r="J133" s="21" t="s">
        <v>140</v>
      </c>
      <c r="K133" s="8" t="s">
        <v>47</v>
      </c>
      <c r="L133" s="6" t="s">
        <v>43</v>
      </c>
      <c r="M133" s="23">
        <v>45842</v>
      </c>
      <c r="N133" s="7" t="s">
        <v>44</v>
      </c>
      <c r="O133" s="8"/>
    </row>
    <row r="134" ht="108" spans="1:15">
      <c r="A134" s="6"/>
      <c r="B134" s="6"/>
      <c r="C134" s="6" t="s">
        <v>35</v>
      </c>
      <c r="D134" s="6" t="s">
        <v>36</v>
      </c>
      <c r="E134" s="7" t="s">
        <v>37</v>
      </c>
      <c r="F134" s="7" t="s">
        <v>38</v>
      </c>
      <c r="G134" s="8" t="str">
        <f t="shared" si="3"/>
        <v>vobc_17.14.1_3.3.2.1.2_133</v>
      </c>
      <c r="H134" s="9" t="s">
        <v>290</v>
      </c>
      <c r="I134" s="8" t="s">
        <v>40</v>
      </c>
      <c r="J134" s="21" t="s">
        <v>178</v>
      </c>
      <c r="K134" s="22" t="s">
        <v>291</v>
      </c>
      <c r="L134" s="6" t="s">
        <v>43</v>
      </c>
      <c r="M134" s="23">
        <v>45842</v>
      </c>
      <c r="N134" s="7" t="s">
        <v>44</v>
      </c>
      <c r="O134" s="8"/>
    </row>
    <row r="135" ht="28.5" spans="1:15">
      <c r="A135" s="6"/>
      <c r="B135" s="6"/>
      <c r="C135" s="6" t="s">
        <v>35</v>
      </c>
      <c r="D135" s="6" t="s">
        <v>36</v>
      </c>
      <c r="E135" s="7" t="s">
        <v>37</v>
      </c>
      <c r="F135" s="7" t="s">
        <v>38</v>
      </c>
      <c r="G135" s="8" t="str">
        <f t="shared" si="3"/>
        <v>vobc_17.14.1_3.3.2.1.2_134</v>
      </c>
      <c r="H135" s="9" t="s">
        <v>292</v>
      </c>
      <c r="I135" s="8" t="s">
        <v>40</v>
      </c>
      <c r="J135" s="21" t="s">
        <v>140</v>
      </c>
      <c r="K135" s="8" t="s">
        <v>47</v>
      </c>
      <c r="L135" s="6" t="s">
        <v>43</v>
      </c>
      <c r="M135" s="23">
        <v>45842</v>
      </c>
      <c r="N135" s="7" t="s">
        <v>44</v>
      </c>
      <c r="O135" s="8"/>
    </row>
    <row r="136" ht="108" spans="1:15">
      <c r="A136" s="6"/>
      <c r="B136" s="6"/>
      <c r="C136" s="6" t="s">
        <v>35</v>
      </c>
      <c r="D136" s="6" t="s">
        <v>36</v>
      </c>
      <c r="E136" s="7" t="s">
        <v>37</v>
      </c>
      <c r="F136" s="7" t="s">
        <v>38</v>
      </c>
      <c r="G136" s="8" t="str">
        <f t="shared" si="3"/>
        <v>vobc_17.14.1_3.3.2.1.2_135</v>
      </c>
      <c r="H136" s="9" t="s">
        <v>293</v>
      </c>
      <c r="I136" s="8" t="s">
        <v>40</v>
      </c>
      <c r="J136" s="21" t="s">
        <v>182</v>
      </c>
      <c r="K136" s="22" t="s">
        <v>294</v>
      </c>
      <c r="L136" s="6" t="s">
        <v>43</v>
      </c>
      <c r="M136" s="23">
        <v>45842</v>
      </c>
      <c r="N136" s="7" t="s">
        <v>44</v>
      </c>
      <c r="O136" s="8"/>
    </row>
    <row r="137" ht="28.5" spans="1:15">
      <c r="A137" s="6"/>
      <c r="B137" s="6"/>
      <c r="C137" s="6" t="s">
        <v>35</v>
      </c>
      <c r="D137" s="6" t="s">
        <v>36</v>
      </c>
      <c r="E137" s="7" t="s">
        <v>37</v>
      </c>
      <c r="F137" s="7" t="s">
        <v>38</v>
      </c>
      <c r="G137" s="8" t="str">
        <f t="shared" si="3"/>
        <v>vobc_17.14.1_3.3.2.1.2_136</v>
      </c>
      <c r="H137" s="9" t="s">
        <v>295</v>
      </c>
      <c r="I137" s="8" t="s">
        <v>40</v>
      </c>
      <c r="J137" s="21" t="s">
        <v>140</v>
      </c>
      <c r="K137" s="8" t="s">
        <v>47</v>
      </c>
      <c r="L137" s="6" t="s">
        <v>43</v>
      </c>
      <c r="M137" s="23">
        <v>45842</v>
      </c>
      <c r="N137" s="7" t="s">
        <v>44</v>
      </c>
      <c r="O137" s="8"/>
    </row>
    <row r="138" ht="108" spans="1:15">
      <c r="A138" s="6"/>
      <c r="B138" s="6"/>
      <c r="C138" s="6" t="s">
        <v>35</v>
      </c>
      <c r="D138" s="6" t="s">
        <v>36</v>
      </c>
      <c r="E138" s="7" t="s">
        <v>37</v>
      </c>
      <c r="F138" s="7" t="s">
        <v>38</v>
      </c>
      <c r="G138" s="8" t="str">
        <f t="shared" si="3"/>
        <v>vobc_17.14.1_3.3.2.1.2_137</v>
      </c>
      <c r="H138" s="9" t="s">
        <v>296</v>
      </c>
      <c r="I138" s="8" t="s">
        <v>40</v>
      </c>
      <c r="J138" s="21" t="s">
        <v>186</v>
      </c>
      <c r="K138" s="22" t="s">
        <v>297</v>
      </c>
      <c r="L138" s="6" t="s">
        <v>43</v>
      </c>
      <c r="M138" s="23">
        <v>45842</v>
      </c>
      <c r="N138" s="7" t="s">
        <v>44</v>
      </c>
      <c r="O138" s="8"/>
    </row>
    <row r="139" ht="28.5" spans="1:15">
      <c r="A139" s="6"/>
      <c r="B139" s="6"/>
      <c r="C139" s="6" t="s">
        <v>35</v>
      </c>
      <c r="D139" s="6" t="s">
        <v>36</v>
      </c>
      <c r="E139" s="7" t="s">
        <v>37</v>
      </c>
      <c r="F139" s="7" t="s">
        <v>38</v>
      </c>
      <c r="G139" s="8" t="str">
        <f t="shared" si="3"/>
        <v>vobc_17.14.1_3.3.2.1.2_138</v>
      </c>
      <c r="H139" s="9" t="s">
        <v>298</v>
      </c>
      <c r="I139" s="8" t="s">
        <v>40</v>
      </c>
      <c r="J139" s="21" t="s">
        <v>140</v>
      </c>
      <c r="K139" s="8" t="s">
        <v>47</v>
      </c>
      <c r="L139" s="6" t="s">
        <v>43</v>
      </c>
      <c r="M139" s="23">
        <v>45842</v>
      </c>
      <c r="N139" s="7" t="s">
        <v>44</v>
      </c>
      <c r="O139" s="8"/>
    </row>
    <row r="140" ht="108" spans="1:15">
      <c r="A140" s="6"/>
      <c r="B140" s="6"/>
      <c r="C140" s="6" t="s">
        <v>35</v>
      </c>
      <c r="D140" s="6" t="s">
        <v>36</v>
      </c>
      <c r="E140" s="7" t="s">
        <v>37</v>
      </c>
      <c r="F140" s="7" t="s">
        <v>38</v>
      </c>
      <c r="G140" s="8" t="str">
        <f t="shared" si="3"/>
        <v>vobc_17.14.1_3.3.2.1.2_139</v>
      </c>
      <c r="H140" s="9" t="s">
        <v>299</v>
      </c>
      <c r="I140" s="8" t="s">
        <v>40</v>
      </c>
      <c r="J140" s="21" t="s">
        <v>190</v>
      </c>
      <c r="K140" s="22" t="s">
        <v>300</v>
      </c>
      <c r="L140" s="6" t="s">
        <v>43</v>
      </c>
      <c r="M140" s="23">
        <v>45842</v>
      </c>
      <c r="N140" s="7" t="s">
        <v>44</v>
      </c>
      <c r="O140" s="8"/>
    </row>
    <row r="141" ht="28.5" spans="1:15">
      <c r="A141" s="6"/>
      <c r="B141" s="6"/>
      <c r="C141" s="6" t="s">
        <v>35</v>
      </c>
      <c r="D141" s="6" t="s">
        <v>36</v>
      </c>
      <c r="E141" s="7" t="s">
        <v>37</v>
      </c>
      <c r="F141" s="7" t="s">
        <v>38</v>
      </c>
      <c r="G141" s="8" t="str">
        <f t="shared" si="3"/>
        <v>vobc_17.14.1_3.3.2.1.2_140</v>
      </c>
      <c r="H141" s="9" t="s">
        <v>301</v>
      </c>
      <c r="I141" s="8" t="s">
        <v>40</v>
      </c>
      <c r="J141" s="21" t="s">
        <v>140</v>
      </c>
      <c r="K141" s="8" t="s">
        <v>47</v>
      </c>
      <c r="L141" s="6" t="s">
        <v>43</v>
      </c>
      <c r="M141" s="23">
        <v>45842</v>
      </c>
      <c r="N141" s="7" t="s">
        <v>44</v>
      </c>
      <c r="O141" s="8"/>
    </row>
    <row r="142" ht="108" spans="1:15">
      <c r="A142" s="6"/>
      <c r="B142" s="6"/>
      <c r="C142" s="6" t="s">
        <v>35</v>
      </c>
      <c r="D142" s="6" t="s">
        <v>36</v>
      </c>
      <c r="E142" s="7" t="s">
        <v>37</v>
      </c>
      <c r="F142" s="7" t="s">
        <v>38</v>
      </c>
      <c r="G142" s="8" t="str">
        <f t="shared" si="3"/>
        <v>vobc_17.14.1_3.3.2.1.2_141</v>
      </c>
      <c r="H142" s="9" t="s">
        <v>302</v>
      </c>
      <c r="I142" s="8" t="s">
        <v>40</v>
      </c>
      <c r="J142" s="21" t="s">
        <v>194</v>
      </c>
      <c r="K142" s="22" t="s">
        <v>303</v>
      </c>
      <c r="L142" s="6" t="s">
        <v>43</v>
      </c>
      <c r="M142" s="23">
        <v>45842</v>
      </c>
      <c r="N142" s="7" t="s">
        <v>44</v>
      </c>
      <c r="O142" s="8"/>
    </row>
    <row r="143" ht="28.5" spans="1:15">
      <c r="A143" s="6"/>
      <c r="B143" s="6"/>
      <c r="C143" s="6" t="s">
        <v>35</v>
      </c>
      <c r="D143" s="6" t="s">
        <v>36</v>
      </c>
      <c r="E143" s="7" t="s">
        <v>37</v>
      </c>
      <c r="F143" s="7" t="s">
        <v>38</v>
      </c>
      <c r="G143" s="8" t="str">
        <f t="shared" si="3"/>
        <v>vobc_17.14.1_3.3.2.1.2_142</v>
      </c>
      <c r="H143" s="9" t="s">
        <v>304</v>
      </c>
      <c r="I143" s="8" t="s">
        <v>40</v>
      </c>
      <c r="J143" s="21" t="s">
        <v>140</v>
      </c>
      <c r="K143" s="8" t="s">
        <v>47</v>
      </c>
      <c r="L143" s="6" t="s">
        <v>43</v>
      </c>
      <c r="M143" s="23">
        <v>45842</v>
      </c>
      <c r="N143" s="7" t="s">
        <v>44</v>
      </c>
      <c r="O143" s="8"/>
    </row>
    <row r="144" ht="108" spans="1:15">
      <c r="A144" s="6"/>
      <c r="B144" s="6"/>
      <c r="C144" s="6" t="s">
        <v>35</v>
      </c>
      <c r="D144" s="6" t="s">
        <v>36</v>
      </c>
      <c r="E144" s="7" t="s">
        <v>37</v>
      </c>
      <c r="F144" s="7" t="s">
        <v>38</v>
      </c>
      <c r="G144" s="8" t="str">
        <f t="shared" si="3"/>
        <v>vobc_17.14.1_3.3.2.1.2_143</v>
      </c>
      <c r="H144" s="9" t="s">
        <v>305</v>
      </c>
      <c r="I144" s="8" t="s">
        <v>40</v>
      </c>
      <c r="J144" s="21" t="s">
        <v>198</v>
      </c>
      <c r="K144" s="22" t="s">
        <v>306</v>
      </c>
      <c r="L144" s="6" t="s">
        <v>43</v>
      </c>
      <c r="M144" s="23">
        <v>45842</v>
      </c>
      <c r="N144" s="7" t="s">
        <v>44</v>
      </c>
      <c r="O144" s="8"/>
    </row>
    <row r="145" ht="28.5" spans="1:15">
      <c r="A145" s="6"/>
      <c r="B145" s="6"/>
      <c r="C145" s="6" t="s">
        <v>35</v>
      </c>
      <c r="D145" s="6" t="s">
        <v>36</v>
      </c>
      <c r="E145" s="7" t="s">
        <v>37</v>
      </c>
      <c r="F145" s="7" t="s">
        <v>38</v>
      </c>
      <c r="G145" s="8" t="str">
        <f t="shared" si="3"/>
        <v>vobc_17.14.1_3.3.2.1.2_144</v>
      </c>
      <c r="H145" s="9" t="s">
        <v>307</v>
      </c>
      <c r="I145" s="8" t="s">
        <v>40</v>
      </c>
      <c r="J145" s="21" t="s">
        <v>140</v>
      </c>
      <c r="K145" s="8" t="s">
        <v>47</v>
      </c>
      <c r="L145" s="6" t="s">
        <v>43</v>
      </c>
      <c r="M145" s="23">
        <v>45842</v>
      </c>
      <c r="N145" s="7" t="s">
        <v>44</v>
      </c>
      <c r="O145" s="8"/>
    </row>
    <row r="146" ht="108" spans="1:15">
      <c r="A146" s="6"/>
      <c r="B146" s="6"/>
      <c r="C146" s="6" t="s">
        <v>35</v>
      </c>
      <c r="D146" s="6" t="s">
        <v>36</v>
      </c>
      <c r="E146" s="7" t="s">
        <v>37</v>
      </c>
      <c r="F146" s="7" t="s">
        <v>38</v>
      </c>
      <c r="G146" s="8" t="str">
        <f t="shared" si="3"/>
        <v>vobc_17.14.1_3.3.2.1.2_145</v>
      </c>
      <c r="H146" s="9" t="s">
        <v>308</v>
      </c>
      <c r="I146" s="8" t="s">
        <v>40</v>
      </c>
      <c r="J146" s="21" t="s">
        <v>202</v>
      </c>
      <c r="K146" s="22" t="s">
        <v>309</v>
      </c>
      <c r="L146" s="6" t="s">
        <v>43</v>
      </c>
      <c r="M146" s="23">
        <v>45842</v>
      </c>
      <c r="N146" s="7" t="s">
        <v>44</v>
      </c>
      <c r="O146" s="8"/>
    </row>
    <row r="147" ht="28.5" spans="1:15">
      <c r="A147" s="6"/>
      <c r="B147" s="6"/>
      <c r="C147" s="6" t="s">
        <v>35</v>
      </c>
      <c r="D147" s="6" t="s">
        <v>36</v>
      </c>
      <c r="E147" s="7" t="s">
        <v>37</v>
      </c>
      <c r="F147" s="7" t="s">
        <v>38</v>
      </c>
      <c r="G147" s="8" t="str">
        <f t="shared" si="3"/>
        <v>vobc_17.14.1_3.3.2.1.2_146</v>
      </c>
      <c r="H147" s="9" t="s">
        <v>310</v>
      </c>
      <c r="I147" s="8" t="s">
        <v>40</v>
      </c>
      <c r="J147" s="21" t="s">
        <v>140</v>
      </c>
      <c r="K147" s="8" t="s">
        <v>47</v>
      </c>
      <c r="L147" s="6" t="s">
        <v>43</v>
      </c>
      <c r="M147" s="23">
        <v>45842</v>
      </c>
      <c r="N147" s="7" t="s">
        <v>44</v>
      </c>
      <c r="O147" s="8"/>
    </row>
    <row r="148" ht="108" spans="1:15">
      <c r="A148" s="6"/>
      <c r="B148" s="6"/>
      <c r="C148" s="6" t="s">
        <v>35</v>
      </c>
      <c r="D148" s="6" t="s">
        <v>36</v>
      </c>
      <c r="E148" s="7" t="s">
        <v>37</v>
      </c>
      <c r="F148" s="7" t="s">
        <v>38</v>
      </c>
      <c r="G148" s="8" t="str">
        <f t="shared" si="3"/>
        <v>vobc_17.14.1_3.3.2.1.2_147</v>
      </c>
      <c r="H148" s="9" t="s">
        <v>311</v>
      </c>
      <c r="I148" s="8" t="s">
        <v>40</v>
      </c>
      <c r="J148" s="21" t="s">
        <v>206</v>
      </c>
      <c r="K148" s="22" t="s">
        <v>312</v>
      </c>
      <c r="L148" s="6" t="s">
        <v>43</v>
      </c>
      <c r="M148" s="23">
        <v>45842</v>
      </c>
      <c r="N148" s="7" t="s">
        <v>44</v>
      </c>
      <c r="O148" s="8"/>
    </row>
    <row r="149" ht="28.5" spans="1:15">
      <c r="A149" s="6"/>
      <c r="B149" s="6"/>
      <c r="C149" s="6" t="s">
        <v>35</v>
      </c>
      <c r="D149" s="6" t="s">
        <v>36</v>
      </c>
      <c r="E149" s="7" t="s">
        <v>37</v>
      </c>
      <c r="F149" s="7" t="s">
        <v>38</v>
      </c>
      <c r="G149" s="8" t="str">
        <f t="shared" si="3"/>
        <v>vobc_17.14.1_3.3.2.1.2_148</v>
      </c>
      <c r="H149" s="9" t="s">
        <v>313</v>
      </c>
      <c r="I149" s="8" t="s">
        <v>40</v>
      </c>
      <c r="J149" s="21" t="s">
        <v>140</v>
      </c>
      <c r="K149" s="8" t="s">
        <v>47</v>
      </c>
      <c r="L149" s="6" t="s">
        <v>43</v>
      </c>
      <c r="M149" s="23">
        <v>45842</v>
      </c>
      <c r="N149" s="7" t="s">
        <v>44</v>
      </c>
      <c r="O149" s="8"/>
    </row>
    <row r="150" ht="108" spans="1:15">
      <c r="A150" s="6"/>
      <c r="B150" s="6"/>
      <c r="C150" s="6" t="s">
        <v>35</v>
      </c>
      <c r="D150" s="6" t="s">
        <v>36</v>
      </c>
      <c r="E150" s="7" t="s">
        <v>37</v>
      </c>
      <c r="F150" s="7" t="s">
        <v>38</v>
      </c>
      <c r="G150" s="8" t="str">
        <f t="shared" si="3"/>
        <v>vobc_17.14.1_3.3.2.1.2_149</v>
      </c>
      <c r="H150" s="9" t="s">
        <v>314</v>
      </c>
      <c r="I150" s="8" t="s">
        <v>40</v>
      </c>
      <c r="J150" s="21" t="s">
        <v>210</v>
      </c>
      <c r="K150" s="22" t="s">
        <v>315</v>
      </c>
      <c r="L150" s="6" t="s">
        <v>43</v>
      </c>
      <c r="M150" s="23">
        <v>45842</v>
      </c>
      <c r="N150" s="7" t="s">
        <v>44</v>
      </c>
      <c r="O150" s="8"/>
    </row>
    <row r="151" ht="28.5" spans="1:15">
      <c r="A151" s="6"/>
      <c r="B151" s="6"/>
      <c r="C151" s="6" t="s">
        <v>35</v>
      </c>
      <c r="D151" s="6" t="s">
        <v>36</v>
      </c>
      <c r="E151" s="7" t="s">
        <v>37</v>
      </c>
      <c r="F151" s="7" t="s">
        <v>38</v>
      </c>
      <c r="G151" s="8" t="str">
        <f t="shared" si="3"/>
        <v>vobc_17.14.1_3.3.2.1.2_150</v>
      </c>
      <c r="H151" s="9" t="s">
        <v>316</v>
      </c>
      <c r="I151" s="8" t="s">
        <v>40</v>
      </c>
      <c r="J151" s="21" t="s">
        <v>140</v>
      </c>
      <c r="K151" s="8" t="s">
        <v>47</v>
      </c>
      <c r="L151" s="6" t="s">
        <v>43</v>
      </c>
      <c r="M151" s="23">
        <v>45842</v>
      </c>
      <c r="N151" s="7" t="s">
        <v>44</v>
      </c>
      <c r="O151" s="8"/>
    </row>
    <row r="152" ht="108" spans="1:15">
      <c r="A152" s="6"/>
      <c r="B152" s="6"/>
      <c r="C152" s="6" t="s">
        <v>35</v>
      </c>
      <c r="D152" s="6" t="s">
        <v>36</v>
      </c>
      <c r="E152" s="7" t="s">
        <v>37</v>
      </c>
      <c r="F152" s="7" t="s">
        <v>38</v>
      </c>
      <c r="G152" s="8" t="str">
        <f t="shared" si="3"/>
        <v>vobc_17.14.1_3.3.2.1.2_151</v>
      </c>
      <c r="H152" s="9" t="s">
        <v>317</v>
      </c>
      <c r="I152" s="8" t="s">
        <v>40</v>
      </c>
      <c r="J152" s="21" t="s">
        <v>214</v>
      </c>
      <c r="K152" s="22" t="s">
        <v>318</v>
      </c>
      <c r="L152" s="6" t="s">
        <v>43</v>
      </c>
      <c r="M152" s="23">
        <v>45842</v>
      </c>
      <c r="N152" s="7" t="s">
        <v>44</v>
      </c>
      <c r="O152" s="8"/>
    </row>
    <row r="153" ht="28.5" spans="1:15">
      <c r="A153" s="6"/>
      <c r="B153" s="6"/>
      <c r="C153" s="6" t="s">
        <v>35</v>
      </c>
      <c r="D153" s="6" t="s">
        <v>36</v>
      </c>
      <c r="E153" s="7" t="s">
        <v>37</v>
      </c>
      <c r="F153" s="7" t="s">
        <v>38</v>
      </c>
      <c r="G153" s="8" t="str">
        <f t="shared" si="3"/>
        <v>vobc_17.14.1_3.3.2.1.2_152</v>
      </c>
      <c r="H153" s="9" t="s">
        <v>319</v>
      </c>
      <c r="I153" s="8" t="s">
        <v>40</v>
      </c>
      <c r="J153" s="21" t="s">
        <v>140</v>
      </c>
      <c r="K153" s="8" t="s">
        <v>47</v>
      </c>
      <c r="L153" s="6" t="s">
        <v>43</v>
      </c>
      <c r="M153" s="23">
        <v>45842</v>
      </c>
      <c r="N153" s="7" t="s">
        <v>44</v>
      </c>
      <c r="O153" s="8"/>
    </row>
    <row r="154" ht="94.5" spans="1:15">
      <c r="A154" s="6"/>
      <c r="B154" s="6"/>
      <c r="C154" s="6" t="s">
        <v>35</v>
      </c>
      <c r="D154" s="6" t="s">
        <v>36</v>
      </c>
      <c r="E154" s="7" t="s">
        <v>37</v>
      </c>
      <c r="F154" s="7" t="s">
        <v>38</v>
      </c>
      <c r="G154" s="8" t="str">
        <f t="shared" si="3"/>
        <v>vobc_17.14.1_3.3.2.1.2_153</v>
      </c>
      <c r="H154" s="9" t="s">
        <v>320</v>
      </c>
      <c r="I154" s="8" t="s">
        <v>40</v>
      </c>
      <c r="J154" s="21" t="s">
        <v>218</v>
      </c>
      <c r="K154" s="22" t="s">
        <v>321</v>
      </c>
      <c r="L154" s="6" t="s">
        <v>43</v>
      </c>
      <c r="M154" s="23">
        <v>45842</v>
      </c>
      <c r="N154" s="7" t="s">
        <v>44</v>
      </c>
      <c r="O154" s="8"/>
    </row>
    <row r="155" ht="28.5" spans="1:15">
      <c r="A155" s="6"/>
      <c r="B155" s="6"/>
      <c r="C155" s="6" t="s">
        <v>35</v>
      </c>
      <c r="D155" s="6" t="s">
        <v>36</v>
      </c>
      <c r="E155" s="7" t="s">
        <v>37</v>
      </c>
      <c r="F155" s="7" t="s">
        <v>38</v>
      </c>
      <c r="G155" s="8" t="str">
        <f t="shared" si="3"/>
        <v>vobc_17.14.1_3.3.2.1.2_154</v>
      </c>
      <c r="H155" s="9" t="s">
        <v>322</v>
      </c>
      <c r="I155" s="8" t="s">
        <v>40</v>
      </c>
      <c r="J155" s="21" t="s">
        <v>140</v>
      </c>
      <c r="K155" s="8" t="s">
        <v>47</v>
      </c>
      <c r="L155" s="6" t="s">
        <v>43</v>
      </c>
      <c r="M155" s="23">
        <v>45842</v>
      </c>
      <c r="N155" s="7" t="s">
        <v>44</v>
      </c>
      <c r="O155" s="8"/>
    </row>
    <row r="156" ht="28.5" spans="1:15">
      <c r="A156" s="6"/>
      <c r="B156" s="6" t="s">
        <v>323</v>
      </c>
      <c r="C156" s="6" t="s">
        <v>35</v>
      </c>
      <c r="D156" s="6" t="s">
        <v>36</v>
      </c>
      <c r="E156" s="7" t="s">
        <v>37</v>
      </c>
      <c r="F156" s="7" t="s">
        <v>38</v>
      </c>
      <c r="G156" s="8" t="str">
        <f t="shared" si="3"/>
        <v>vobc_17.14.1_3.3.2.1.2_155</v>
      </c>
      <c r="H156" s="9" t="s">
        <v>324</v>
      </c>
      <c r="I156" s="8" t="s">
        <v>40</v>
      </c>
      <c r="J156" s="21" t="s">
        <v>119</v>
      </c>
      <c r="K156" s="22" t="s">
        <v>325</v>
      </c>
      <c r="L156" s="6" t="s">
        <v>43</v>
      </c>
      <c r="M156" s="23">
        <v>45842</v>
      </c>
      <c r="N156" s="7" t="s">
        <v>44</v>
      </c>
      <c r="O156" s="8"/>
    </row>
    <row r="157" ht="81" spans="1:15">
      <c r="A157" s="6"/>
      <c r="B157" s="6"/>
      <c r="C157" s="6" t="s">
        <v>35</v>
      </c>
      <c r="D157" s="6" t="s">
        <v>36</v>
      </c>
      <c r="E157" s="7" t="s">
        <v>37</v>
      </c>
      <c r="F157" s="7" t="s">
        <v>38</v>
      </c>
      <c r="G157" s="8" t="str">
        <f t="shared" si="3"/>
        <v>vobc_17.14.1_3.3.2.1.2_156</v>
      </c>
      <c r="H157" s="9" t="s">
        <v>326</v>
      </c>
      <c r="I157" s="8" t="s">
        <v>40</v>
      </c>
      <c r="J157" s="21" t="s">
        <v>106</v>
      </c>
      <c r="K157" s="22" t="s">
        <v>327</v>
      </c>
      <c r="L157" s="6" t="s">
        <v>43</v>
      </c>
      <c r="M157" s="23">
        <v>45842</v>
      </c>
      <c r="N157" s="7" t="s">
        <v>44</v>
      </c>
      <c r="O157" s="8"/>
    </row>
    <row r="158" ht="28.5" spans="1:15">
      <c r="A158" s="6"/>
      <c r="B158" s="44" t="s">
        <v>328</v>
      </c>
      <c r="C158" s="6" t="s">
        <v>35</v>
      </c>
      <c r="D158" s="6" t="s">
        <v>36</v>
      </c>
      <c r="E158" s="7" t="s">
        <v>37</v>
      </c>
      <c r="F158" s="7" t="s">
        <v>38</v>
      </c>
      <c r="G158" s="8" t="str">
        <f t="shared" si="3"/>
        <v>vobc_17.14.1_3.3.2.1.2_157</v>
      </c>
      <c r="H158" s="9" t="s">
        <v>329</v>
      </c>
      <c r="I158" s="8" t="s">
        <v>40</v>
      </c>
      <c r="J158" s="21" t="s">
        <v>330</v>
      </c>
      <c r="K158" s="8" t="s">
        <v>331</v>
      </c>
      <c r="L158" s="6" t="s">
        <v>43</v>
      </c>
      <c r="M158" s="23">
        <v>45842</v>
      </c>
      <c r="N158" s="7" t="s">
        <v>44</v>
      </c>
      <c r="O158" s="8"/>
    </row>
    <row r="159" ht="28.5" spans="1:15">
      <c r="A159" s="6"/>
      <c r="B159" s="44"/>
      <c r="C159" s="6" t="s">
        <v>35</v>
      </c>
      <c r="D159" s="6" t="s">
        <v>36</v>
      </c>
      <c r="E159" s="7" t="s">
        <v>37</v>
      </c>
      <c r="F159" s="7" t="s">
        <v>38</v>
      </c>
      <c r="G159" s="8" t="str">
        <f t="shared" si="3"/>
        <v>vobc_17.14.1_3.3.2.1.2_158</v>
      </c>
      <c r="H159" s="9" t="s">
        <v>332</v>
      </c>
      <c r="I159" s="8" t="s">
        <v>40</v>
      </c>
      <c r="J159" s="21" t="s">
        <v>333</v>
      </c>
      <c r="K159" s="8" t="s">
        <v>334</v>
      </c>
      <c r="L159" s="6" t="s">
        <v>43</v>
      </c>
      <c r="M159" s="23">
        <v>45842</v>
      </c>
      <c r="N159" s="7" t="s">
        <v>44</v>
      </c>
      <c r="O159" s="8"/>
    </row>
    <row r="160" ht="28.5" spans="1:15">
      <c r="A160" s="6"/>
      <c r="B160" s="6" t="s">
        <v>335</v>
      </c>
      <c r="C160" s="6" t="s">
        <v>35</v>
      </c>
      <c r="D160" s="6" t="s">
        <v>36</v>
      </c>
      <c r="E160" s="7" t="s">
        <v>37</v>
      </c>
      <c r="F160" s="7" t="s">
        <v>38</v>
      </c>
      <c r="G160" s="8" t="str">
        <f t="shared" si="3"/>
        <v>vobc_17.14.1_3.3.2.1.2_159</v>
      </c>
      <c r="H160" s="9" t="s">
        <v>336</v>
      </c>
      <c r="I160" s="8" t="s">
        <v>40</v>
      </c>
      <c r="J160" s="21" t="s">
        <v>330</v>
      </c>
      <c r="K160" s="8" t="s">
        <v>331</v>
      </c>
      <c r="L160" s="6" t="s">
        <v>43</v>
      </c>
      <c r="M160" s="23">
        <v>45842</v>
      </c>
      <c r="N160" s="7" t="s">
        <v>44</v>
      </c>
      <c r="O160" s="8"/>
    </row>
    <row r="161" ht="28.5" spans="1:15">
      <c r="A161" s="6"/>
      <c r="B161" s="6"/>
      <c r="C161" s="6" t="s">
        <v>35</v>
      </c>
      <c r="D161" s="6" t="s">
        <v>36</v>
      </c>
      <c r="E161" s="7" t="s">
        <v>37</v>
      </c>
      <c r="F161" s="7" t="s">
        <v>38</v>
      </c>
      <c r="G161" s="8" t="str">
        <f t="shared" si="3"/>
        <v>vobc_17.14.1_3.3.2.1.2_160</v>
      </c>
      <c r="H161" s="9" t="s">
        <v>337</v>
      </c>
      <c r="I161" s="8" t="s">
        <v>40</v>
      </c>
      <c r="J161" s="21" t="s">
        <v>333</v>
      </c>
      <c r="K161" s="8" t="s">
        <v>334</v>
      </c>
      <c r="L161" s="6" t="s">
        <v>43</v>
      </c>
      <c r="M161" s="23">
        <v>45842</v>
      </c>
      <c r="N161" s="7" t="s">
        <v>44</v>
      </c>
      <c r="O161" s="8"/>
    </row>
    <row r="162" ht="28.5" spans="1:15">
      <c r="A162" s="5" t="s">
        <v>338</v>
      </c>
      <c r="B162" s="44" t="s">
        <v>339</v>
      </c>
      <c r="C162" s="6" t="s">
        <v>35</v>
      </c>
      <c r="D162" s="6" t="s">
        <v>36</v>
      </c>
      <c r="E162" s="7" t="s">
        <v>37</v>
      </c>
      <c r="F162" s="7" t="s">
        <v>38</v>
      </c>
      <c r="G162" s="8" t="str">
        <f t="shared" ref="G162:G225" si="4">"vobc_17.14.1_3.3.2.1.7_"&amp;ROW()-1</f>
        <v>vobc_17.14.1_3.3.2.1.7_161</v>
      </c>
      <c r="H162" s="9" t="s">
        <v>340</v>
      </c>
      <c r="I162" s="8" t="s">
        <v>40</v>
      </c>
      <c r="J162" s="21" t="s">
        <v>341</v>
      </c>
      <c r="K162" s="22" t="s">
        <v>342</v>
      </c>
      <c r="L162" s="6" t="s">
        <v>43</v>
      </c>
      <c r="M162" s="23">
        <v>45842</v>
      </c>
      <c r="N162" s="7" t="s">
        <v>44</v>
      </c>
      <c r="O162" s="8"/>
    </row>
    <row r="163" ht="94.5" spans="1:15">
      <c r="A163" s="11"/>
      <c r="B163" s="44"/>
      <c r="C163" s="6" t="s">
        <v>35</v>
      </c>
      <c r="D163" s="6" t="s">
        <v>36</v>
      </c>
      <c r="E163" s="7" t="s">
        <v>37</v>
      </c>
      <c r="F163" s="7" t="s">
        <v>38</v>
      </c>
      <c r="G163" s="8" t="str">
        <f t="shared" si="4"/>
        <v>vobc_17.14.1_3.3.2.1.7_162</v>
      </c>
      <c r="H163" s="9" t="s">
        <v>343</v>
      </c>
      <c r="I163" s="8" t="s">
        <v>40</v>
      </c>
      <c r="J163" s="21" t="s">
        <v>344</v>
      </c>
      <c r="K163" s="22" t="s">
        <v>345</v>
      </c>
      <c r="L163" s="6" t="s">
        <v>43</v>
      </c>
      <c r="M163" s="23">
        <v>45842</v>
      </c>
      <c r="N163" s="7" t="s">
        <v>44</v>
      </c>
      <c r="O163" s="8"/>
    </row>
    <row r="164" ht="94.5" spans="1:15">
      <c r="A164" s="11"/>
      <c r="B164" s="44"/>
      <c r="C164" s="6" t="s">
        <v>35</v>
      </c>
      <c r="D164" s="6" t="s">
        <v>36</v>
      </c>
      <c r="E164" s="7" t="s">
        <v>37</v>
      </c>
      <c r="F164" s="7" t="s">
        <v>38</v>
      </c>
      <c r="G164" s="8" t="str">
        <f t="shared" si="4"/>
        <v>vobc_17.14.1_3.3.2.1.7_163</v>
      </c>
      <c r="H164" s="9" t="s">
        <v>346</v>
      </c>
      <c r="I164" s="8" t="s">
        <v>40</v>
      </c>
      <c r="J164" s="21" t="s">
        <v>347</v>
      </c>
      <c r="K164" s="22" t="s">
        <v>348</v>
      </c>
      <c r="L164" s="6" t="s">
        <v>43</v>
      </c>
      <c r="M164" s="23">
        <v>45842</v>
      </c>
      <c r="N164" s="7" t="s">
        <v>44</v>
      </c>
      <c r="O164" s="8"/>
    </row>
    <row r="165" ht="94.5" spans="1:15">
      <c r="A165" s="11"/>
      <c r="B165" s="44"/>
      <c r="C165" s="6" t="s">
        <v>35</v>
      </c>
      <c r="D165" s="6" t="s">
        <v>36</v>
      </c>
      <c r="E165" s="7" t="s">
        <v>37</v>
      </c>
      <c r="F165" s="7" t="s">
        <v>38</v>
      </c>
      <c r="G165" s="8" t="str">
        <f t="shared" si="4"/>
        <v>vobc_17.14.1_3.3.2.1.7_164</v>
      </c>
      <c r="H165" s="9" t="s">
        <v>349</v>
      </c>
      <c r="I165" s="8" t="s">
        <v>40</v>
      </c>
      <c r="J165" s="21" t="s">
        <v>350</v>
      </c>
      <c r="K165" s="22" t="s">
        <v>351</v>
      </c>
      <c r="L165" s="6" t="s">
        <v>43</v>
      </c>
      <c r="M165" s="23">
        <v>45842</v>
      </c>
      <c r="N165" s="7" t="s">
        <v>44</v>
      </c>
      <c r="O165" s="8"/>
    </row>
    <row r="166" ht="94.5" spans="1:15">
      <c r="A166" s="11"/>
      <c r="B166" s="44"/>
      <c r="C166" s="6" t="s">
        <v>35</v>
      </c>
      <c r="D166" s="6" t="s">
        <v>36</v>
      </c>
      <c r="E166" s="7" t="s">
        <v>37</v>
      </c>
      <c r="F166" s="7" t="s">
        <v>38</v>
      </c>
      <c r="G166" s="8" t="str">
        <f t="shared" si="4"/>
        <v>vobc_17.14.1_3.3.2.1.7_165</v>
      </c>
      <c r="H166" s="9" t="s">
        <v>352</v>
      </c>
      <c r="I166" s="8" t="s">
        <v>40</v>
      </c>
      <c r="J166" s="21" t="s">
        <v>353</v>
      </c>
      <c r="K166" s="22" t="s">
        <v>354</v>
      </c>
      <c r="L166" s="6" t="s">
        <v>43</v>
      </c>
      <c r="M166" s="23">
        <v>45842</v>
      </c>
      <c r="N166" s="7" t="s">
        <v>44</v>
      </c>
      <c r="O166" s="8"/>
    </row>
    <row r="167" ht="28.5" spans="1:15">
      <c r="A167" s="11"/>
      <c r="B167" s="44" t="s">
        <v>355</v>
      </c>
      <c r="C167" s="6" t="s">
        <v>35</v>
      </c>
      <c r="D167" s="6" t="s">
        <v>36</v>
      </c>
      <c r="E167" s="7" t="s">
        <v>37</v>
      </c>
      <c r="F167" s="7" t="s">
        <v>38</v>
      </c>
      <c r="G167" s="8" t="str">
        <f t="shared" si="4"/>
        <v>vobc_17.14.1_3.3.2.1.7_166</v>
      </c>
      <c r="H167" s="9" t="s">
        <v>340</v>
      </c>
      <c r="I167" s="8" t="s">
        <v>40</v>
      </c>
      <c r="J167" s="21" t="s">
        <v>341</v>
      </c>
      <c r="K167" s="22" t="s">
        <v>356</v>
      </c>
      <c r="L167" s="6" t="s">
        <v>43</v>
      </c>
      <c r="M167" s="23">
        <v>45842</v>
      </c>
      <c r="N167" s="7" t="s">
        <v>44</v>
      </c>
      <c r="O167" s="8"/>
    </row>
    <row r="168" ht="94.5" spans="1:15">
      <c r="A168" s="11"/>
      <c r="B168" s="44"/>
      <c r="C168" s="6" t="s">
        <v>35</v>
      </c>
      <c r="D168" s="6" t="s">
        <v>36</v>
      </c>
      <c r="E168" s="7" t="s">
        <v>37</v>
      </c>
      <c r="F168" s="7" t="s">
        <v>38</v>
      </c>
      <c r="G168" s="8" t="str">
        <f t="shared" si="4"/>
        <v>vobc_17.14.1_3.3.2.1.7_167</v>
      </c>
      <c r="H168" s="9" t="s">
        <v>357</v>
      </c>
      <c r="I168" s="8" t="s">
        <v>40</v>
      </c>
      <c r="J168" s="21" t="s">
        <v>344</v>
      </c>
      <c r="K168" s="22" t="s">
        <v>358</v>
      </c>
      <c r="L168" s="6" t="s">
        <v>43</v>
      </c>
      <c r="M168" s="23">
        <v>45842</v>
      </c>
      <c r="N168" s="7" t="s">
        <v>44</v>
      </c>
      <c r="O168" s="8"/>
    </row>
    <row r="169" ht="94.5" spans="1:15">
      <c r="A169" s="11"/>
      <c r="B169" s="44"/>
      <c r="C169" s="6" t="s">
        <v>35</v>
      </c>
      <c r="D169" s="6" t="s">
        <v>36</v>
      </c>
      <c r="E169" s="7" t="s">
        <v>37</v>
      </c>
      <c r="F169" s="7" t="s">
        <v>38</v>
      </c>
      <c r="G169" s="8" t="str">
        <f t="shared" si="4"/>
        <v>vobc_17.14.1_3.3.2.1.7_168</v>
      </c>
      <c r="H169" s="9" t="s">
        <v>359</v>
      </c>
      <c r="I169" s="8" t="s">
        <v>40</v>
      </c>
      <c r="J169" s="21" t="s">
        <v>347</v>
      </c>
      <c r="K169" s="22" t="s">
        <v>360</v>
      </c>
      <c r="L169" s="6" t="s">
        <v>43</v>
      </c>
      <c r="M169" s="23">
        <v>45842</v>
      </c>
      <c r="N169" s="7" t="s">
        <v>44</v>
      </c>
      <c r="O169" s="8"/>
    </row>
    <row r="170" ht="94.5" spans="1:15">
      <c r="A170" s="11"/>
      <c r="B170" s="44"/>
      <c r="C170" s="6" t="s">
        <v>35</v>
      </c>
      <c r="D170" s="6" t="s">
        <v>36</v>
      </c>
      <c r="E170" s="7" t="s">
        <v>37</v>
      </c>
      <c r="F170" s="7" t="s">
        <v>38</v>
      </c>
      <c r="G170" s="8" t="str">
        <f t="shared" si="4"/>
        <v>vobc_17.14.1_3.3.2.1.7_169</v>
      </c>
      <c r="H170" s="9" t="s">
        <v>361</v>
      </c>
      <c r="I170" s="8" t="s">
        <v>40</v>
      </c>
      <c r="J170" s="21" t="s">
        <v>350</v>
      </c>
      <c r="K170" s="22" t="s">
        <v>362</v>
      </c>
      <c r="L170" s="6" t="s">
        <v>43</v>
      </c>
      <c r="M170" s="23">
        <v>45842</v>
      </c>
      <c r="N170" s="7" t="s">
        <v>44</v>
      </c>
      <c r="O170" s="8"/>
    </row>
    <row r="171" ht="94.5" spans="1:15">
      <c r="A171" s="11"/>
      <c r="B171" s="44"/>
      <c r="C171" s="6" t="s">
        <v>35</v>
      </c>
      <c r="D171" s="6" t="s">
        <v>36</v>
      </c>
      <c r="E171" s="7" t="s">
        <v>37</v>
      </c>
      <c r="F171" s="7" t="s">
        <v>38</v>
      </c>
      <c r="G171" s="8" t="str">
        <f t="shared" si="4"/>
        <v>vobc_17.14.1_3.3.2.1.7_170</v>
      </c>
      <c r="H171" s="9" t="s">
        <v>363</v>
      </c>
      <c r="I171" s="8" t="s">
        <v>40</v>
      </c>
      <c r="J171" s="21" t="s">
        <v>353</v>
      </c>
      <c r="K171" s="22" t="s">
        <v>364</v>
      </c>
      <c r="L171" s="6" t="s">
        <v>43</v>
      </c>
      <c r="M171" s="23">
        <v>45842</v>
      </c>
      <c r="N171" s="7" t="s">
        <v>44</v>
      </c>
      <c r="O171" s="8"/>
    </row>
    <row r="172" ht="28.5" spans="1:15">
      <c r="A172" s="11"/>
      <c r="B172" s="44" t="s">
        <v>365</v>
      </c>
      <c r="C172" s="6" t="s">
        <v>35</v>
      </c>
      <c r="D172" s="6" t="s">
        <v>36</v>
      </c>
      <c r="E172" s="7" t="s">
        <v>37</v>
      </c>
      <c r="F172" s="7" t="s">
        <v>38</v>
      </c>
      <c r="G172" s="8" t="str">
        <f t="shared" si="4"/>
        <v>vobc_17.14.1_3.3.2.1.7_171</v>
      </c>
      <c r="H172" s="9" t="s">
        <v>366</v>
      </c>
      <c r="I172" s="8" t="s">
        <v>40</v>
      </c>
      <c r="J172" s="21" t="s">
        <v>341</v>
      </c>
      <c r="K172" s="22" t="s">
        <v>367</v>
      </c>
      <c r="L172" s="6" t="s">
        <v>43</v>
      </c>
      <c r="M172" s="23">
        <v>45842</v>
      </c>
      <c r="N172" s="7" t="s">
        <v>44</v>
      </c>
      <c r="O172" s="8"/>
    </row>
    <row r="173" ht="94.5" spans="1:15">
      <c r="A173" s="11"/>
      <c r="B173" s="44"/>
      <c r="C173" s="6" t="s">
        <v>35</v>
      </c>
      <c r="D173" s="6" t="s">
        <v>36</v>
      </c>
      <c r="E173" s="7" t="s">
        <v>37</v>
      </c>
      <c r="F173" s="7" t="s">
        <v>38</v>
      </c>
      <c r="G173" s="8" t="str">
        <f t="shared" si="4"/>
        <v>vobc_17.14.1_3.3.2.1.7_172</v>
      </c>
      <c r="H173" s="9" t="s">
        <v>368</v>
      </c>
      <c r="I173" s="8" t="s">
        <v>40</v>
      </c>
      <c r="J173" s="21" t="s">
        <v>344</v>
      </c>
      <c r="K173" s="22" t="s">
        <v>369</v>
      </c>
      <c r="L173" s="6" t="s">
        <v>43</v>
      </c>
      <c r="M173" s="23">
        <v>45842</v>
      </c>
      <c r="N173" s="7" t="s">
        <v>44</v>
      </c>
      <c r="O173" s="8"/>
    </row>
    <row r="174" ht="94.5" spans="1:15">
      <c r="A174" s="11"/>
      <c r="B174" s="44"/>
      <c r="C174" s="6" t="s">
        <v>35</v>
      </c>
      <c r="D174" s="6" t="s">
        <v>36</v>
      </c>
      <c r="E174" s="7" t="s">
        <v>37</v>
      </c>
      <c r="F174" s="7" t="s">
        <v>38</v>
      </c>
      <c r="G174" s="8" t="str">
        <f t="shared" si="4"/>
        <v>vobc_17.14.1_3.3.2.1.7_173</v>
      </c>
      <c r="H174" s="9" t="s">
        <v>370</v>
      </c>
      <c r="I174" s="8" t="s">
        <v>40</v>
      </c>
      <c r="J174" s="21" t="s">
        <v>347</v>
      </c>
      <c r="K174" s="22" t="s">
        <v>371</v>
      </c>
      <c r="L174" s="6" t="s">
        <v>43</v>
      </c>
      <c r="M174" s="23">
        <v>45842</v>
      </c>
      <c r="N174" s="7" t="s">
        <v>44</v>
      </c>
      <c r="O174" s="8"/>
    </row>
    <row r="175" ht="94.5" spans="1:15">
      <c r="A175" s="11"/>
      <c r="B175" s="44"/>
      <c r="C175" s="6" t="s">
        <v>35</v>
      </c>
      <c r="D175" s="6" t="s">
        <v>36</v>
      </c>
      <c r="E175" s="7" t="s">
        <v>37</v>
      </c>
      <c r="F175" s="7" t="s">
        <v>38</v>
      </c>
      <c r="G175" s="8" t="str">
        <f t="shared" si="4"/>
        <v>vobc_17.14.1_3.3.2.1.7_174</v>
      </c>
      <c r="H175" s="9" t="s">
        <v>372</v>
      </c>
      <c r="I175" s="8" t="s">
        <v>40</v>
      </c>
      <c r="J175" s="21" t="s">
        <v>350</v>
      </c>
      <c r="K175" s="22" t="s">
        <v>373</v>
      </c>
      <c r="L175" s="6" t="s">
        <v>43</v>
      </c>
      <c r="M175" s="23">
        <v>45842</v>
      </c>
      <c r="N175" s="7" t="s">
        <v>44</v>
      </c>
      <c r="O175" s="8"/>
    </row>
    <row r="176" ht="94.5" spans="1:15">
      <c r="A176" s="11"/>
      <c r="B176" s="44"/>
      <c r="C176" s="6" t="s">
        <v>35</v>
      </c>
      <c r="D176" s="6" t="s">
        <v>36</v>
      </c>
      <c r="E176" s="7" t="s">
        <v>37</v>
      </c>
      <c r="F176" s="7" t="s">
        <v>38</v>
      </c>
      <c r="G176" s="8" t="str">
        <f t="shared" si="4"/>
        <v>vobc_17.14.1_3.3.2.1.7_175</v>
      </c>
      <c r="H176" s="9" t="s">
        <v>374</v>
      </c>
      <c r="I176" s="8" t="s">
        <v>40</v>
      </c>
      <c r="J176" s="21" t="s">
        <v>353</v>
      </c>
      <c r="K176" s="22" t="s">
        <v>375</v>
      </c>
      <c r="L176" s="6" t="s">
        <v>43</v>
      </c>
      <c r="M176" s="23">
        <v>45842</v>
      </c>
      <c r="N176" s="7" t="s">
        <v>44</v>
      </c>
      <c r="O176" s="8"/>
    </row>
    <row r="177" ht="28.5" spans="1:15">
      <c r="A177" s="11"/>
      <c r="B177" s="44" t="s">
        <v>376</v>
      </c>
      <c r="C177" s="6" t="s">
        <v>35</v>
      </c>
      <c r="D177" s="6" t="s">
        <v>36</v>
      </c>
      <c r="E177" s="7" t="s">
        <v>37</v>
      </c>
      <c r="F177" s="7" t="s">
        <v>38</v>
      </c>
      <c r="G177" s="8" t="str">
        <f t="shared" si="4"/>
        <v>vobc_17.14.1_3.3.2.1.7_176</v>
      </c>
      <c r="H177" s="9" t="s">
        <v>366</v>
      </c>
      <c r="I177" s="8" t="s">
        <v>40</v>
      </c>
      <c r="J177" s="21" t="s">
        <v>341</v>
      </c>
      <c r="K177" s="22" t="s">
        <v>377</v>
      </c>
      <c r="L177" s="6" t="s">
        <v>43</v>
      </c>
      <c r="M177" s="23">
        <v>45842</v>
      </c>
      <c r="N177" s="7" t="s">
        <v>44</v>
      </c>
      <c r="O177" s="8"/>
    </row>
    <row r="178" ht="94.5" spans="1:15">
      <c r="A178" s="11"/>
      <c r="B178" s="44"/>
      <c r="C178" s="6" t="s">
        <v>35</v>
      </c>
      <c r="D178" s="6" t="s">
        <v>36</v>
      </c>
      <c r="E178" s="7" t="s">
        <v>37</v>
      </c>
      <c r="F178" s="7" t="s">
        <v>38</v>
      </c>
      <c r="G178" s="8" t="str">
        <f t="shared" si="4"/>
        <v>vobc_17.14.1_3.3.2.1.7_177</v>
      </c>
      <c r="H178" s="9" t="s">
        <v>378</v>
      </c>
      <c r="I178" s="8" t="s">
        <v>40</v>
      </c>
      <c r="J178" s="21" t="s">
        <v>344</v>
      </c>
      <c r="K178" s="22" t="s">
        <v>379</v>
      </c>
      <c r="L178" s="6" t="s">
        <v>43</v>
      </c>
      <c r="M178" s="23">
        <v>45842</v>
      </c>
      <c r="N178" s="7" t="s">
        <v>44</v>
      </c>
      <c r="O178" s="8"/>
    </row>
    <row r="179" ht="94.5" spans="1:15">
      <c r="A179" s="11"/>
      <c r="B179" s="44"/>
      <c r="C179" s="6" t="s">
        <v>35</v>
      </c>
      <c r="D179" s="6" t="s">
        <v>36</v>
      </c>
      <c r="E179" s="7" t="s">
        <v>37</v>
      </c>
      <c r="F179" s="7" t="s">
        <v>38</v>
      </c>
      <c r="G179" s="8" t="str">
        <f t="shared" si="4"/>
        <v>vobc_17.14.1_3.3.2.1.7_178</v>
      </c>
      <c r="H179" s="9" t="s">
        <v>380</v>
      </c>
      <c r="I179" s="8" t="s">
        <v>40</v>
      </c>
      <c r="J179" s="21" t="s">
        <v>347</v>
      </c>
      <c r="K179" s="22" t="s">
        <v>381</v>
      </c>
      <c r="L179" s="6" t="s">
        <v>43</v>
      </c>
      <c r="M179" s="23">
        <v>45842</v>
      </c>
      <c r="N179" s="7" t="s">
        <v>44</v>
      </c>
      <c r="O179" s="8"/>
    </row>
    <row r="180" ht="94.5" spans="1:15">
      <c r="A180" s="11"/>
      <c r="B180" s="44"/>
      <c r="C180" s="6" t="s">
        <v>35</v>
      </c>
      <c r="D180" s="6" t="s">
        <v>36</v>
      </c>
      <c r="E180" s="7" t="s">
        <v>37</v>
      </c>
      <c r="F180" s="7" t="s">
        <v>38</v>
      </c>
      <c r="G180" s="8" t="str">
        <f t="shared" si="4"/>
        <v>vobc_17.14.1_3.3.2.1.7_179</v>
      </c>
      <c r="H180" s="9" t="s">
        <v>382</v>
      </c>
      <c r="I180" s="8" t="s">
        <v>40</v>
      </c>
      <c r="J180" s="21" t="s">
        <v>350</v>
      </c>
      <c r="K180" s="22" t="s">
        <v>383</v>
      </c>
      <c r="L180" s="6" t="s">
        <v>43</v>
      </c>
      <c r="M180" s="23">
        <v>45842</v>
      </c>
      <c r="N180" s="7" t="s">
        <v>44</v>
      </c>
      <c r="O180" s="8"/>
    </row>
    <row r="181" ht="94.5" spans="1:15">
      <c r="A181" s="11"/>
      <c r="B181" s="44"/>
      <c r="C181" s="6" t="s">
        <v>35</v>
      </c>
      <c r="D181" s="6" t="s">
        <v>36</v>
      </c>
      <c r="E181" s="7" t="s">
        <v>37</v>
      </c>
      <c r="F181" s="7" t="s">
        <v>38</v>
      </c>
      <c r="G181" s="8" t="str">
        <f t="shared" si="4"/>
        <v>vobc_17.14.1_3.3.2.1.7_180</v>
      </c>
      <c r="H181" s="9" t="s">
        <v>384</v>
      </c>
      <c r="I181" s="8" t="s">
        <v>40</v>
      </c>
      <c r="J181" s="21" t="s">
        <v>353</v>
      </c>
      <c r="K181" s="22" t="s">
        <v>385</v>
      </c>
      <c r="L181" s="6" t="s">
        <v>43</v>
      </c>
      <c r="M181" s="23">
        <v>45842</v>
      </c>
      <c r="N181" s="7" t="s">
        <v>44</v>
      </c>
      <c r="O181" s="8"/>
    </row>
    <row r="182" ht="28.5" spans="1:15">
      <c r="A182" s="11"/>
      <c r="B182" s="44" t="s">
        <v>386</v>
      </c>
      <c r="C182" s="6" t="s">
        <v>35</v>
      </c>
      <c r="D182" s="6" t="s">
        <v>36</v>
      </c>
      <c r="E182" s="7" t="s">
        <v>37</v>
      </c>
      <c r="F182" s="7" t="s">
        <v>38</v>
      </c>
      <c r="G182" s="8" t="str">
        <f t="shared" si="4"/>
        <v>vobc_17.14.1_3.3.2.1.7_181</v>
      </c>
      <c r="H182" s="9" t="s">
        <v>387</v>
      </c>
      <c r="I182" s="8" t="s">
        <v>40</v>
      </c>
      <c r="J182" s="21" t="s">
        <v>341</v>
      </c>
      <c r="K182" s="22" t="s">
        <v>388</v>
      </c>
      <c r="L182" s="6" t="s">
        <v>43</v>
      </c>
      <c r="M182" s="23">
        <v>45842</v>
      </c>
      <c r="N182" s="7" t="s">
        <v>44</v>
      </c>
      <c r="O182" s="8"/>
    </row>
    <row r="183" ht="94.5" spans="1:15">
      <c r="A183" s="11"/>
      <c r="B183" s="44"/>
      <c r="C183" s="6" t="s">
        <v>35</v>
      </c>
      <c r="D183" s="6" t="s">
        <v>36</v>
      </c>
      <c r="E183" s="7" t="s">
        <v>37</v>
      </c>
      <c r="F183" s="7" t="s">
        <v>38</v>
      </c>
      <c r="G183" s="8" t="str">
        <f t="shared" si="4"/>
        <v>vobc_17.14.1_3.3.2.1.7_182</v>
      </c>
      <c r="H183" s="9" t="s">
        <v>389</v>
      </c>
      <c r="I183" s="8" t="s">
        <v>40</v>
      </c>
      <c r="J183" s="21" t="s">
        <v>344</v>
      </c>
      <c r="K183" s="22" t="s">
        <v>390</v>
      </c>
      <c r="L183" s="6" t="s">
        <v>43</v>
      </c>
      <c r="M183" s="23">
        <v>45842</v>
      </c>
      <c r="N183" s="7" t="s">
        <v>44</v>
      </c>
      <c r="O183" s="8"/>
    </row>
    <row r="184" ht="94.5" spans="1:15">
      <c r="A184" s="11"/>
      <c r="B184" s="44"/>
      <c r="C184" s="6" t="s">
        <v>35</v>
      </c>
      <c r="D184" s="6" t="s">
        <v>36</v>
      </c>
      <c r="E184" s="7" t="s">
        <v>37</v>
      </c>
      <c r="F184" s="7" t="s">
        <v>38</v>
      </c>
      <c r="G184" s="8" t="str">
        <f t="shared" si="4"/>
        <v>vobc_17.14.1_3.3.2.1.7_183</v>
      </c>
      <c r="H184" s="9" t="s">
        <v>391</v>
      </c>
      <c r="I184" s="8" t="s">
        <v>40</v>
      </c>
      <c r="J184" s="21" t="s">
        <v>347</v>
      </c>
      <c r="K184" s="22" t="s">
        <v>392</v>
      </c>
      <c r="L184" s="6" t="s">
        <v>43</v>
      </c>
      <c r="M184" s="23">
        <v>45842</v>
      </c>
      <c r="N184" s="7" t="s">
        <v>44</v>
      </c>
      <c r="O184" s="8"/>
    </row>
    <row r="185" ht="94.5" spans="1:15">
      <c r="A185" s="11"/>
      <c r="B185" s="44"/>
      <c r="C185" s="6" t="s">
        <v>35</v>
      </c>
      <c r="D185" s="6" t="s">
        <v>36</v>
      </c>
      <c r="E185" s="7" t="s">
        <v>37</v>
      </c>
      <c r="F185" s="7" t="s">
        <v>38</v>
      </c>
      <c r="G185" s="8" t="str">
        <f t="shared" si="4"/>
        <v>vobc_17.14.1_3.3.2.1.7_184</v>
      </c>
      <c r="H185" s="9" t="s">
        <v>393</v>
      </c>
      <c r="I185" s="8" t="s">
        <v>40</v>
      </c>
      <c r="J185" s="21" t="s">
        <v>350</v>
      </c>
      <c r="K185" s="22" t="s">
        <v>394</v>
      </c>
      <c r="L185" s="6" t="s">
        <v>43</v>
      </c>
      <c r="M185" s="23">
        <v>45842</v>
      </c>
      <c r="N185" s="7" t="s">
        <v>44</v>
      </c>
      <c r="O185" s="8"/>
    </row>
    <row r="186" ht="94.5" spans="1:15">
      <c r="A186" s="11"/>
      <c r="B186" s="44"/>
      <c r="C186" s="6" t="s">
        <v>35</v>
      </c>
      <c r="D186" s="6" t="s">
        <v>36</v>
      </c>
      <c r="E186" s="7" t="s">
        <v>37</v>
      </c>
      <c r="F186" s="7" t="s">
        <v>38</v>
      </c>
      <c r="G186" s="8" t="str">
        <f t="shared" si="4"/>
        <v>vobc_17.14.1_3.3.2.1.7_185</v>
      </c>
      <c r="H186" s="9" t="s">
        <v>395</v>
      </c>
      <c r="I186" s="8" t="s">
        <v>40</v>
      </c>
      <c r="J186" s="21" t="s">
        <v>353</v>
      </c>
      <c r="K186" s="22" t="s">
        <v>396</v>
      </c>
      <c r="L186" s="6" t="s">
        <v>43</v>
      </c>
      <c r="M186" s="23">
        <v>45842</v>
      </c>
      <c r="N186" s="7" t="s">
        <v>44</v>
      </c>
      <c r="O186" s="8"/>
    </row>
    <row r="187" ht="28.5" spans="1:15">
      <c r="A187" s="11"/>
      <c r="B187" s="44" t="s">
        <v>397</v>
      </c>
      <c r="C187" s="6" t="s">
        <v>35</v>
      </c>
      <c r="D187" s="6" t="s">
        <v>36</v>
      </c>
      <c r="E187" s="7" t="s">
        <v>37</v>
      </c>
      <c r="F187" s="7" t="s">
        <v>38</v>
      </c>
      <c r="G187" s="8" t="str">
        <f t="shared" si="4"/>
        <v>vobc_17.14.1_3.3.2.1.7_186</v>
      </c>
      <c r="H187" s="9" t="s">
        <v>387</v>
      </c>
      <c r="I187" s="8" t="s">
        <v>40</v>
      </c>
      <c r="J187" s="21" t="s">
        <v>341</v>
      </c>
      <c r="K187" s="22" t="s">
        <v>398</v>
      </c>
      <c r="L187" s="6" t="s">
        <v>43</v>
      </c>
      <c r="M187" s="23">
        <v>45842</v>
      </c>
      <c r="N187" s="7" t="s">
        <v>44</v>
      </c>
      <c r="O187" s="8"/>
    </row>
    <row r="188" ht="94.5" spans="1:15">
      <c r="A188" s="11"/>
      <c r="B188" s="44"/>
      <c r="C188" s="6" t="s">
        <v>35</v>
      </c>
      <c r="D188" s="6" t="s">
        <v>36</v>
      </c>
      <c r="E188" s="7" t="s">
        <v>37</v>
      </c>
      <c r="F188" s="7" t="s">
        <v>38</v>
      </c>
      <c r="G188" s="8" t="str">
        <f t="shared" si="4"/>
        <v>vobc_17.14.1_3.3.2.1.7_187</v>
      </c>
      <c r="H188" s="9" t="s">
        <v>399</v>
      </c>
      <c r="I188" s="8" t="s">
        <v>40</v>
      </c>
      <c r="J188" s="21" t="s">
        <v>344</v>
      </c>
      <c r="K188" s="22" t="s">
        <v>400</v>
      </c>
      <c r="L188" s="6" t="s">
        <v>43</v>
      </c>
      <c r="M188" s="23">
        <v>45842</v>
      </c>
      <c r="N188" s="7" t="s">
        <v>44</v>
      </c>
      <c r="O188" s="8"/>
    </row>
    <row r="189" ht="94.5" spans="1:15">
      <c r="A189" s="11"/>
      <c r="B189" s="44"/>
      <c r="C189" s="6" t="s">
        <v>35</v>
      </c>
      <c r="D189" s="6" t="s">
        <v>36</v>
      </c>
      <c r="E189" s="7" t="s">
        <v>37</v>
      </c>
      <c r="F189" s="7" t="s">
        <v>38</v>
      </c>
      <c r="G189" s="8" t="str">
        <f t="shared" si="4"/>
        <v>vobc_17.14.1_3.3.2.1.7_188</v>
      </c>
      <c r="H189" s="9" t="s">
        <v>401</v>
      </c>
      <c r="I189" s="8" t="s">
        <v>40</v>
      </c>
      <c r="J189" s="21" t="s">
        <v>347</v>
      </c>
      <c r="K189" s="22" t="s">
        <v>402</v>
      </c>
      <c r="L189" s="6" t="s">
        <v>43</v>
      </c>
      <c r="M189" s="23">
        <v>45842</v>
      </c>
      <c r="N189" s="7" t="s">
        <v>44</v>
      </c>
      <c r="O189" s="8"/>
    </row>
    <row r="190" ht="94.5" spans="1:15">
      <c r="A190" s="11"/>
      <c r="B190" s="44"/>
      <c r="C190" s="6" t="s">
        <v>35</v>
      </c>
      <c r="D190" s="6" t="s">
        <v>36</v>
      </c>
      <c r="E190" s="7" t="s">
        <v>37</v>
      </c>
      <c r="F190" s="7" t="s">
        <v>38</v>
      </c>
      <c r="G190" s="8" t="str">
        <f t="shared" si="4"/>
        <v>vobc_17.14.1_3.3.2.1.7_189</v>
      </c>
      <c r="H190" s="9" t="s">
        <v>403</v>
      </c>
      <c r="I190" s="8" t="s">
        <v>40</v>
      </c>
      <c r="J190" s="21" t="s">
        <v>350</v>
      </c>
      <c r="K190" s="22" t="s">
        <v>404</v>
      </c>
      <c r="L190" s="6" t="s">
        <v>43</v>
      </c>
      <c r="M190" s="23">
        <v>45842</v>
      </c>
      <c r="N190" s="7" t="s">
        <v>44</v>
      </c>
      <c r="O190" s="8"/>
    </row>
    <row r="191" ht="94.5" spans="1:15">
      <c r="A191" s="11"/>
      <c r="B191" s="44"/>
      <c r="C191" s="6" t="s">
        <v>35</v>
      </c>
      <c r="D191" s="6" t="s">
        <v>36</v>
      </c>
      <c r="E191" s="7" t="s">
        <v>37</v>
      </c>
      <c r="F191" s="7" t="s">
        <v>38</v>
      </c>
      <c r="G191" s="8" t="str">
        <f t="shared" si="4"/>
        <v>vobc_17.14.1_3.3.2.1.7_190</v>
      </c>
      <c r="H191" s="9" t="s">
        <v>405</v>
      </c>
      <c r="I191" s="8" t="s">
        <v>40</v>
      </c>
      <c r="J191" s="21" t="s">
        <v>353</v>
      </c>
      <c r="K191" s="22" t="s">
        <v>406</v>
      </c>
      <c r="L191" s="6" t="s">
        <v>43</v>
      </c>
      <c r="M191" s="23">
        <v>45842</v>
      </c>
      <c r="N191" s="7" t="s">
        <v>44</v>
      </c>
      <c r="O191" s="8"/>
    </row>
    <row r="192" ht="28.5" spans="1:15">
      <c r="A192" s="11"/>
      <c r="B192" s="44" t="s">
        <v>407</v>
      </c>
      <c r="C192" s="6" t="s">
        <v>35</v>
      </c>
      <c r="D192" s="6" t="s">
        <v>36</v>
      </c>
      <c r="E192" s="7" t="s">
        <v>37</v>
      </c>
      <c r="F192" s="7" t="s">
        <v>38</v>
      </c>
      <c r="G192" s="8" t="str">
        <f t="shared" si="4"/>
        <v>vobc_17.14.1_3.3.2.1.7_191</v>
      </c>
      <c r="H192" s="9" t="s">
        <v>408</v>
      </c>
      <c r="I192" s="8" t="s">
        <v>40</v>
      </c>
      <c r="J192" s="21" t="s">
        <v>341</v>
      </c>
      <c r="K192" s="22" t="s">
        <v>409</v>
      </c>
      <c r="L192" s="6" t="s">
        <v>43</v>
      </c>
      <c r="M192" s="23">
        <v>45842</v>
      </c>
      <c r="N192" s="7" t="s">
        <v>44</v>
      </c>
      <c r="O192" s="8"/>
    </row>
    <row r="193" ht="94.5" spans="1:15">
      <c r="A193" s="11"/>
      <c r="B193" s="44"/>
      <c r="C193" s="6" t="s">
        <v>35</v>
      </c>
      <c r="D193" s="6" t="s">
        <v>36</v>
      </c>
      <c r="E193" s="7" t="s">
        <v>37</v>
      </c>
      <c r="F193" s="7" t="s">
        <v>38</v>
      </c>
      <c r="G193" s="8" t="str">
        <f t="shared" si="4"/>
        <v>vobc_17.14.1_3.3.2.1.7_192</v>
      </c>
      <c r="H193" s="9" t="s">
        <v>410</v>
      </c>
      <c r="I193" s="8" t="s">
        <v>40</v>
      </c>
      <c r="J193" s="21" t="s">
        <v>344</v>
      </c>
      <c r="K193" s="22" t="s">
        <v>411</v>
      </c>
      <c r="L193" s="6" t="s">
        <v>43</v>
      </c>
      <c r="M193" s="23">
        <v>45842</v>
      </c>
      <c r="N193" s="7" t="s">
        <v>44</v>
      </c>
      <c r="O193" s="8"/>
    </row>
    <row r="194" ht="94.5" spans="1:15">
      <c r="A194" s="11"/>
      <c r="B194" s="44"/>
      <c r="C194" s="6" t="s">
        <v>35</v>
      </c>
      <c r="D194" s="6" t="s">
        <v>36</v>
      </c>
      <c r="E194" s="7" t="s">
        <v>37</v>
      </c>
      <c r="F194" s="7" t="s">
        <v>38</v>
      </c>
      <c r="G194" s="8" t="str">
        <f t="shared" si="4"/>
        <v>vobc_17.14.1_3.3.2.1.7_193</v>
      </c>
      <c r="H194" s="9" t="s">
        <v>412</v>
      </c>
      <c r="I194" s="8" t="s">
        <v>40</v>
      </c>
      <c r="J194" s="21" t="s">
        <v>347</v>
      </c>
      <c r="K194" s="22" t="s">
        <v>413</v>
      </c>
      <c r="L194" s="6" t="s">
        <v>43</v>
      </c>
      <c r="M194" s="23">
        <v>45842</v>
      </c>
      <c r="N194" s="7" t="s">
        <v>44</v>
      </c>
      <c r="O194" s="8"/>
    </row>
    <row r="195" ht="94.5" spans="1:15">
      <c r="A195" s="11"/>
      <c r="B195" s="44"/>
      <c r="C195" s="6" t="s">
        <v>35</v>
      </c>
      <c r="D195" s="6" t="s">
        <v>36</v>
      </c>
      <c r="E195" s="7" t="s">
        <v>37</v>
      </c>
      <c r="F195" s="7" t="s">
        <v>38</v>
      </c>
      <c r="G195" s="8" t="str">
        <f t="shared" si="4"/>
        <v>vobc_17.14.1_3.3.2.1.7_194</v>
      </c>
      <c r="H195" s="9" t="s">
        <v>414</v>
      </c>
      <c r="I195" s="8" t="s">
        <v>40</v>
      </c>
      <c r="J195" s="21" t="s">
        <v>350</v>
      </c>
      <c r="K195" s="22" t="s">
        <v>415</v>
      </c>
      <c r="L195" s="6" t="s">
        <v>43</v>
      </c>
      <c r="M195" s="23">
        <v>45842</v>
      </c>
      <c r="N195" s="7" t="s">
        <v>44</v>
      </c>
      <c r="O195" s="8"/>
    </row>
    <row r="196" ht="94.5" spans="1:15">
      <c r="A196" s="11"/>
      <c r="B196" s="44"/>
      <c r="C196" s="6" t="s">
        <v>35</v>
      </c>
      <c r="D196" s="6" t="s">
        <v>36</v>
      </c>
      <c r="E196" s="7" t="s">
        <v>37</v>
      </c>
      <c r="F196" s="7" t="s">
        <v>38</v>
      </c>
      <c r="G196" s="8" t="str">
        <f t="shared" si="4"/>
        <v>vobc_17.14.1_3.3.2.1.7_195</v>
      </c>
      <c r="H196" s="9" t="s">
        <v>416</v>
      </c>
      <c r="I196" s="8" t="s">
        <v>40</v>
      </c>
      <c r="J196" s="21" t="s">
        <v>353</v>
      </c>
      <c r="K196" s="22" t="s">
        <v>417</v>
      </c>
      <c r="L196" s="6" t="s">
        <v>43</v>
      </c>
      <c r="M196" s="23">
        <v>45842</v>
      </c>
      <c r="N196" s="7" t="s">
        <v>44</v>
      </c>
      <c r="O196" s="8"/>
    </row>
    <row r="197" ht="28.5" spans="1:15">
      <c r="A197" s="11"/>
      <c r="B197" s="44" t="s">
        <v>418</v>
      </c>
      <c r="C197" s="6" t="s">
        <v>35</v>
      </c>
      <c r="D197" s="6" t="s">
        <v>36</v>
      </c>
      <c r="E197" s="7" t="s">
        <v>37</v>
      </c>
      <c r="F197" s="7" t="s">
        <v>38</v>
      </c>
      <c r="G197" s="8" t="str">
        <f t="shared" si="4"/>
        <v>vobc_17.14.1_3.3.2.1.7_196</v>
      </c>
      <c r="H197" s="9" t="s">
        <v>408</v>
      </c>
      <c r="I197" s="8" t="s">
        <v>40</v>
      </c>
      <c r="J197" s="21" t="s">
        <v>341</v>
      </c>
      <c r="K197" s="22" t="s">
        <v>419</v>
      </c>
      <c r="L197" s="6" t="s">
        <v>43</v>
      </c>
      <c r="M197" s="23">
        <v>45842</v>
      </c>
      <c r="N197" s="7" t="s">
        <v>44</v>
      </c>
      <c r="O197" s="8"/>
    </row>
    <row r="198" ht="94.5" spans="1:15">
      <c r="A198" s="11"/>
      <c r="B198" s="44"/>
      <c r="C198" s="6" t="s">
        <v>35</v>
      </c>
      <c r="D198" s="6" t="s">
        <v>36</v>
      </c>
      <c r="E198" s="7" t="s">
        <v>37</v>
      </c>
      <c r="F198" s="7" t="s">
        <v>38</v>
      </c>
      <c r="G198" s="8" t="str">
        <f t="shared" si="4"/>
        <v>vobc_17.14.1_3.3.2.1.7_197</v>
      </c>
      <c r="H198" s="9" t="s">
        <v>420</v>
      </c>
      <c r="I198" s="8" t="s">
        <v>40</v>
      </c>
      <c r="J198" s="21" t="s">
        <v>344</v>
      </c>
      <c r="K198" s="22" t="s">
        <v>421</v>
      </c>
      <c r="L198" s="6" t="s">
        <v>43</v>
      </c>
      <c r="M198" s="23">
        <v>45842</v>
      </c>
      <c r="N198" s="7" t="s">
        <v>44</v>
      </c>
      <c r="O198" s="8"/>
    </row>
    <row r="199" ht="94.5" spans="1:15">
      <c r="A199" s="11"/>
      <c r="B199" s="44"/>
      <c r="C199" s="6" t="s">
        <v>35</v>
      </c>
      <c r="D199" s="6" t="s">
        <v>36</v>
      </c>
      <c r="E199" s="7" t="s">
        <v>37</v>
      </c>
      <c r="F199" s="7" t="s">
        <v>38</v>
      </c>
      <c r="G199" s="8" t="str">
        <f t="shared" si="4"/>
        <v>vobc_17.14.1_3.3.2.1.7_198</v>
      </c>
      <c r="H199" s="9" t="s">
        <v>422</v>
      </c>
      <c r="I199" s="8" t="s">
        <v>40</v>
      </c>
      <c r="J199" s="21" t="s">
        <v>347</v>
      </c>
      <c r="K199" s="22" t="s">
        <v>423</v>
      </c>
      <c r="L199" s="6" t="s">
        <v>43</v>
      </c>
      <c r="M199" s="23">
        <v>45842</v>
      </c>
      <c r="N199" s="7" t="s">
        <v>44</v>
      </c>
      <c r="O199" s="8"/>
    </row>
    <row r="200" ht="94.5" spans="1:15">
      <c r="A200" s="11"/>
      <c r="B200" s="44"/>
      <c r="C200" s="6" t="s">
        <v>35</v>
      </c>
      <c r="D200" s="6" t="s">
        <v>36</v>
      </c>
      <c r="E200" s="7" t="s">
        <v>37</v>
      </c>
      <c r="F200" s="7" t="s">
        <v>38</v>
      </c>
      <c r="G200" s="8" t="str">
        <f t="shared" si="4"/>
        <v>vobc_17.14.1_3.3.2.1.7_199</v>
      </c>
      <c r="H200" s="9" t="s">
        <v>424</v>
      </c>
      <c r="I200" s="8" t="s">
        <v>40</v>
      </c>
      <c r="J200" s="21" t="s">
        <v>350</v>
      </c>
      <c r="K200" s="22" t="s">
        <v>425</v>
      </c>
      <c r="L200" s="6" t="s">
        <v>43</v>
      </c>
      <c r="M200" s="23">
        <v>45842</v>
      </c>
      <c r="N200" s="7" t="s">
        <v>44</v>
      </c>
      <c r="O200" s="8"/>
    </row>
    <row r="201" ht="94.5" spans="1:15">
      <c r="A201" s="11"/>
      <c r="B201" s="44"/>
      <c r="C201" s="6" t="s">
        <v>35</v>
      </c>
      <c r="D201" s="6" t="s">
        <v>36</v>
      </c>
      <c r="E201" s="7" t="s">
        <v>37</v>
      </c>
      <c r="F201" s="7" t="s">
        <v>38</v>
      </c>
      <c r="G201" s="8" t="str">
        <f t="shared" si="4"/>
        <v>vobc_17.14.1_3.3.2.1.7_200</v>
      </c>
      <c r="H201" s="9" t="s">
        <v>426</v>
      </c>
      <c r="I201" s="8" t="s">
        <v>40</v>
      </c>
      <c r="J201" s="21" t="s">
        <v>353</v>
      </c>
      <c r="K201" s="22" t="s">
        <v>427</v>
      </c>
      <c r="L201" s="6" t="s">
        <v>43</v>
      </c>
      <c r="M201" s="23">
        <v>45842</v>
      </c>
      <c r="N201" s="7" t="s">
        <v>44</v>
      </c>
      <c r="O201" s="8"/>
    </row>
    <row r="202" ht="28.5" spans="1:15">
      <c r="A202" s="11"/>
      <c r="B202" s="44" t="s">
        <v>428</v>
      </c>
      <c r="C202" s="6" t="s">
        <v>35</v>
      </c>
      <c r="D202" s="6" t="s">
        <v>36</v>
      </c>
      <c r="E202" s="7" t="s">
        <v>37</v>
      </c>
      <c r="F202" s="7" t="s">
        <v>38</v>
      </c>
      <c r="G202" s="8" t="str">
        <f t="shared" si="4"/>
        <v>vobc_17.14.1_3.3.2.1.7_201</v>
      </c>
      <c r="H202" s="9" t="s">
        <v>429</v>
      </c>
      <c r="I202" s="8" t="s">
        <v>40</v>
      </c>
      <c r="J202" s="21" t="s">
        <v>341</v>
      </c>
      <c r="K202" s="22" t="s">
        <v>430</v>
      </c>
      <c r="L202" s="6" t="s">
        <v>43</v>
      </c>
      <c r="M202" s="23">
        <v>45842</v>
      </c>
      <c r="N202" s="7" t="s">
        <v>44</v>
      </c>
      <c r="O202" s="8"/>
    </row>
    <row r="203" ht="94.5" spans="1:15">
      <c r="A203" s="11"/>
      <c r="B203" s="44"/>
      <c r="C203" s="6" t="s">
        <v>35</v>
      </c>
      <c r="D203" s="6" t="s">
        <v>36</v>
      </c>
      <c r="E203" s="7" t="s">
        <v>37</v>
      </c>
      <c r="F203" s="7" t="s">
        <v>38</v>
      </c>
      <c r="G203" s="8" t="str">
        <f t="shared" si="4"/>
        <v>vobc_17.14.1_3.3.2.1.7_202</v>
      </c>
      <c r="H203" s="9" t="s">
        <v>431</v>
      </c>
      <c r="I203" s="8" t="s">
        <v>40</v>
      </c>
      <c r="J203" s="21" t="s">
        <v>344</v>
      </c>
      <c r="K203" s="22" t="s">
        <v>432</v>
      </c>
      <c r="L203" s="6" t="s">
        <v>43</v>
      </c>
      <c r="M203" s="23">
        <v>45842</v>
      </c>
      <c r="N203" s="7" t="s">
        <v>44</v>
      </c>
      <c r="O203" s="8"/>
    </row>
    <row r="204" ht="94.5" spans="1:15">
      <c r="A204" s="11"/>
      <c r="B204" s="44"/>
      <c r="C204" s="6" t="s">
        <v>35</v>
      </c>
      <c r="D204" s="6" t="s">
        <v>36</v>
      </c>
      <c r="E204" s="7" t="s">
        <v>37</v>
      </c>
      <c r="F204" s="7" t="s">
        <v>38</v>
      </c>
      <c r="G204" s="8" t="str">
        <f t="shared" si="4"/>
        <v>vobc_17.14.1_3.3.2.1.7_203</v>
      </c>
      <c r="H204" s="9" t="s">
        <v>433</v>
      </c>
      <c r="I204" s="8" t="s">
        <v>40</v>
      </c>
      <c r="J204" s="21" t="s">
        <v>347</v>
      </c>
      <c r="K204" s="22" t="s">
        <v>434</v>
      </c>
      <c r="L204" s="6" t="s">
        <v>43</v>
      </c>
      <c r="M204" s="23">
        <v>45842</v>
      </c>
      <c r="N204" s="7" t="s">
        <v>44</v>
      </c>
      <c r="O204" s="8"/>
    </row>
    <row r="205" ht="94.5" spans="1:15">
      <c r="A205" s="11"/>
      <c r="B205" s="44"/>
      <c r="C205" s="6" t="s">
        <v>35</v>
      </c>
      <c r="D205" s="6" t="s">
        <v>36</v>
      </c>
      <c r="E205" s="7" t="s">
        <v>37</v>
      </c>
      <c r="F205" s="7" t="s">
        <v>38</v>
      </c>
      <c r="G205" s="8" t="str">
        <f t="shared" si="4"/>
        <v>vobc_17.14.1_3.3.2.1.7_204</v>
      </c>
      <c r="H205" s="9" t="s">
        <v>435</v>
      </c>
      <c r="I205" s="8" t="s">
        <v>40</v>
      </c>
      <c r="J205" s="21" t="s">
        <v>350</v>
      </c>
      <c r="K205" s="22" t="s">
        <v>436</v>
      </c>
      <c r="L205" s="6" t="s">
        <v>43</v>
      </c>
      <c r="M205" s="23">
        <v>45842</v>
      </c>
      <c r="N205" s="7" t="s">
        <v>44</v>
      </c>
      <c r="O205" s="8"/>
    </row>
    <row r="206" ht="94.5" spans="1:15">
      <c r="A206" s="11"/>
      <c r="B206" s="44"/>
      <c r="C206" s="6" t="s">
        <v>35</v>
      </c>
      <c r="D206" s="6" t="s">
        <v>36</v>
      </c>
      <c r="E206" s="7" t="s">
        <v>37</v>
      </c>
      <c r="F206" s="7" t="s">
        <v>38</v>
      </c>
      <c r="G206" s="8" t="str">
        <f t="shared" si="4"/>
        <v>vobc_17.14.1_3.3.2.1.7_205</v>
      </c>
      <c r="H206" s="9" t="s">
        <v>437</v>
      </c>
      <c r="I206" s="8" t="s">
        <v>40</v>
      </c>
      <c r="J206" s="21" t="s">
        <v>353</v>
      </c>
      <c r="K206" s="22" t="s">
        <v>438</v>
      </c>
      <c r="L206" s="6" t="s">
        <v>43</v>
      </c>
      <c r="M206" s="23">
        <v>45842</v>
      </c>
      <c r="N206" s="7" t="s">
        <v>44</v>
      </c>
      <c r="O206" s="8"/>
    </row>
    <row r="207" ht="28.5" spans="1:15">
      <c r="A207" s="11"/>
      <c r="B207" s="44" t="s">
        <v>439</v>
      </c>
      <c r="C207" s="6" t="s">
        <v>35</v>
      </c>
      <c r="D207" s="6" t="s">
        <v>36</v>
      </c>
      <c r="E207" s="7" t="s">
        <v>37</v>
      </c>
      <c r="F207" s="7" t="s">
        <v>38</v>
      </c>
      <c r="G207" s="8" t="str">
        <f t="shared" si="4"/>
        <v>vobc_17.14.1_3.3.2.1.7_206</v>
      </c>
      <c r="H207" s="9" t="s">
        <v>429</v>
      </c>
      <c r="I207" s="8" t="s">
        <v>40</v>
      </c>
      <c r="J207" s="21" t="s">
        <v>341</v>
      </c>
      <c r="K207" s="22" t="s">
        <v>440</v>
      </c>
      <c r="L207" s="6" t="s">
        <v>43</v>
      </c>
      <c r="M207" s="23">
        <v>45842</v>
      </c>
      <c r="N207" s="7" t="s">
        <v>44</v>
      </c>
      <c r="O207" s="8"/>
    </row>
    <row r="208" ht="94.5" spans="1:15">
      <c r="A208" s="11"/>
      <c r="B208" s="44"/>
      <c r="C208" s="6" t="s">
        <v>35</v>
      </c>
      <c r="D208" s="6" t="s">
        <v>36</v>
      </c>
      <c r="E208" s="7" t="s">
        <v>37</v>
      </c>
      <c r="F208" s="7" t="s">
        <v>38</v>
      </c>
      <c r="G208" s="8" t="str">
        <f t="shared" si="4"/>
        <v>vobc_17.14.1_3.3.2.1.7_207</v>
      </c>
      <c r="H208" s="9" t="s">
        <v>441</v>
      </c>
      <c r="I208" s="8" t="s">
        <v>40</v>
      </c>
      <c r="J208" s="21" t="s">
        <v>344</v>
      </c>
      <c r="K208" s="22" t="s">
        <v>442</v>
      </c>
      <c r="L208" s="6" t="s">
        <v>43</v>
      </c>
      <c r="M208" s="23">
        <v>45842</v>
      </c>
      <c r="N208" s="7" t="s">
        <v>44</v>
      </c>
      <c r="O208" s="8"/>
    </row>
    <row r="209" ht="94.5" spans="1:15">
      <c r="A209" s="11"/>
      <c r="B209" s="44"/>
      <c r="C209" s="6" t="s">
        <v>35</v>
      </c>
      <c r="D209" s="6" t="s">
        <v>36</v>
      </c>
      <c r="E209" s="7" t="s">
        <v>37</v>
      </c>
      <c r="F209" s="7" t="s">
        <v>38</v>
      </c>
      <c r="G209" s="8" t="str">
        <f t="shared" si="4"/>
        <v>vobc_17.14.1_3.3.2.1.7_208</v>
      </c>
      <c r="H209" s="9" t="s">
        <v>443</v>
      </c>
      <c r="I209" s="8" t="s">
        <v>40</v>
      </c>
      <c r="J209" s="21" t="s">
        <v>347</v>
      </c>
      <c r="K209" s="22" t="s">
        <v>444</v>
      </c>
      <c r="L209" s="6" t="s">
        <v>43</v>
      </c>
      <c r="M209" s="23">
        <v>45842</v>
      </c>
      <c r="N209" s="7" t="s">
        <v>44</v>
      </c>
      <c r="O209" s="8"/>
    </row>
    <row r="210" ht="94.5" spans="1:15">
      <c r="A210" s="11"/>
      <c r="B210" s="44"/>
      <c r="C210" s="6" t="s">
        <v>35</v>
      </c>
      <c r="D210" s="6" t="s">
        <v>36</v>
      </c>
      <c r="E210" s="7" t="s">
        <v>37</v>
      </c>
      <c r="F210" s="7" t="s">
        <v>38</v>
      </c>
      <c r="G210" s="8" t="str">
        <f t="shared" si="4"/>
        <v>vobc_17.14.1_3.3.2.1.7_209</v>
      </c>
      <c r="H210" s="9" t="s">
        <v>445</v>
      </c>
      <c r="I210" s="8" t="s">
        <v>40</v>
      </c>
      <c r="J210" s="21" t="s">
        <v>350</v>
      </c>
      <c r="K210" s="22" t="s">
        <v>446</v>
      </c>
      <c r="L210" s="6" t="s">
        <v>43</v>
      </c>
      <c r="M210" s="23">
        <v>45842</v>
      </c>
      <c r="N210" s="7" t="s">
        <v>44</v>
      </c>
      <c r="O210" s="8"/>
    </row>
    <row r="211" ht="94.5" spans="1:15">
      <c r="A211" s="11"/>
      <c r="B211" s="44"/>
      <c r="C211" s="6" t="s">
        <v>35</v>
      </c>
      <c r="D211" s="6" t="s">
        <v>36</v>
      </c>
      <c r="E211" s="7" t="s">
        <v>37</v>
      </c>
      <c r="F211" s="7" t="s">
        <v>38</v>
      </c>
      <c r="G211" s="8" t="str">
        <f t="shared" si="4"/>
        <v>vobc_17.14.1_3.3.2.1.7_210</v>
      </c>
      <c r="H211" s="9" t="s">
        <v>447</v>
      </c>
      <c r="I211" s="8" t="s">
        <v>40</v>
      </c>
      <c r="J211" s="21" t="s">
        <v>353</v>
      </c>
      <c r="K211" s="22" t="s">
        <v>448</v>
      </c>
      <c r="L211" s="6" t="s">
        <v>43</v>
      </c>
      <c r="M211" s="23">
        <v>45842</v>
      </c>
      <c r="N211" s="7" t="s">
        <v>44</v>
      </c>
      <c r="O211" s="8"/>
    </row>
    <row r="212" ht="28.5" spans="1:15">
      <c r="A212" s="11"/>
      <c r="B212" s="44" t="s">
        <v>449</v>
      </c>
      <c r="C212" s="6" t="s">
        <v>35</v>
      </c>
      <c r="D212" s="6" t="s">
        <v>36</v>
      </c>
      <c r="E212" s="7" t="s">
        <v>37</v>
      </c>
      <c r="F212" s="7" t="s">
        <v>38</v>
      </c>
      <c r="G212" s="8" t="str">
        <f t="shared" si="4"/>
        <v>vobc_17.14.1_3.3.2.1.7_211</v>
      </c>
      <c r="H212" s="9" t="s">
        <v>450</v>
      </c>
      <c r="I212" s="8" t="s">
        <v>40</v>
      </c>
      <c r="J212" s="21" t="s">
        <v>341</v>
      </c>
      <c r="K212" s="22" t="s">
        <v>451</v>
      </c>
      <c r="L212" s="6" t="s">
        <v>43</v>
      </c>
      <c r="M212" s="23">
        <v>45842</v>
      </c>
      <c r="N212" s="7" t="s">
        <v>44</v>
      </c>
      <c r="O212" s="8"/>
    </row>
    <row r="213" ht="94.5" spans="1:15">
      <c r="A213" s="11"/>
      <c r="B213" s="44"/>
      <c r="C213" s="6" t="s">
        <v>35</v>
      </c>
      <c r="D213" s="6" t="s">
        <v>36</v>
      </c>
      <c r="E213" s="7" t="s">
        <v>37</v>
      </c>
      <c r="F213" s="7" t="s">
        <v>38</v>
      </c>
      <c r="G213" s="8" t="str">
        <f t="shared" si="4"/>
        <v>vobc_17.14.1_3.3.2.1.7_212</v>
      </c>
      <c r="H213" s="9" t="s">
        <v>452</v>
      </c>
      <c r="I213" s="8" t="s">
        <v>40</v>
      </c>
      <c r="J213" s="21" t="s">
        <v>344</v>
      </c>
      <c r="K213" s="22" t="s">
        <v>453</v>
      </c>
      <c r="L213" s="6" t="s">
        <v>43</v>
      </c>
      <c r="M213" s="23">
        <v>45842</v>
      </c>
      <c r="N213" s="7" t="s">
        <v>44</v>
      </c>
      <c r="O213" s="8"/>
    </row>
    <row r="214" ht="94.5" spans="1:15">
      <c r="A214" s="11"/>
      <c r="B214" s="44"/>
      <c r="C214" s="6" t="s">
        <v>35</v>
      </c>
      <c r="D214" s="6" t="s">
        <v>36</v>
      </c>
      <c r="E214" s="7" t="s">
        <v>37</v>
      </c>
      <c r="F214" s="7" t="s">
        <v>38</v>
      </c>
      <c r="G214" s="8" t="str">
        <f t="shared" si="4"/>
        <v>vobc_17.14.1_3.3.2.1.7_213</v>
      </c>
      <c r="H214" s="9" t="s">
        <v>454</v>
      </c>
      <c r="I214" s="8" t="s">
        <v>40</v>
      </c>
      <c r="J214" s="21" t="s">
        <v>347</v>
      </c>
      <c r="K214" s="22" t="s">
        <v>455</v>
      </c>
      <c r="L214" s="6" t="s">
        <v>43</v>
      </c>
      <c r="M214" s="23">
        <v>45842</v>
      </c>
      <c r="N214" s="7" t="s">
        <v>44</v>
      </c>
      <c r="O214" s="8"/>
    </row>
    <row r="215" ht="94.5" spans="1:15">
      <c r="A215" s="11"/>
      <c r="B215" s="44"/>
      <c r="C215" s="6" t="s">
        <v>35</v>
      </c>
      <c r="D215" s="6" t="s">
        <v>36</v>
      </c>
      <c r="E215" s="7" t="s">
        <v>37</v>
      </c>
      <c r="F215" s="7" t="s">
        <v>38</v>
      </c>
      <c r="G215" s="8" t="str">
        <f t="shared" si="4"/>
        <v>vobc_17.14.1_3.3.2.1.7_214</v>
      </c>
      <c r="H215" s="9" t="s">
        <v>456</v>
      </c>
      <c r="I215" s="8" t="s">
        <v>40</v>
      </c>
      <c r="J215" s="21" t="s">
        <v>350</v>
      </c>
      <c r="K215" s="22" t="s">
        <v>457</v>
      </c>
      <c r="L215" s="6" t="s">
        <v>43</v>
      </c>
      <c r="M215" s="23">
        <v>45842</v>
      </c>
      <c r="N215" s="7" t="s">
        <v>44</v>
      </c>
      <c r="O215" s="8"/>
    </row>
    <row r="216" ht="94.5" spans="1:15">
      <c r="A216" s="11"/>
      <c r="B216" s="44"/>
      <c r="C216" s="6" t="s">
        <v>35</v>
      </c>
      <c r="D216" s="6" t="s">
        <v>36</v>
      </c>
      <c r="E216" s="7" t="s">
        <v>37</v>
      </c>
      <c r="F216" s="7" t="s">
        <v>38</v>
      </c>
      <c r="G216" s="8" t="str">
        <f t="shared" si="4"/>
        <v>vobc_17.14.1_3.3.2.1.7_215</v>
      </c>
      <c r="H216" s="9" t="s">
        <v>458</v>
      </c>
      <c r="I216" s="8" t="s">
        <v>40</v>
      </c>
      <c r="J216" s="21" t="s">
        <v>353</v>
      </c>
      <c r="K216" s="22" t="s">
        <v>459</v>
      </c>
      <c r="L216" s="6" t="s">
        <v>43</v>
      </c>
      <c r="M216" s="23">
        <v>45842</v>
      </c>
      <c r="N216" s="7" t="s">
        <v>44</v>
      </c>
      <c r="O216" s="8"/>
    </row>
    <row r="217" ht="28.5" spans="1:15">
      <c r="A217" s="11"/>
      <c r="B217" s="44" t="s">
        <v>460</v>
      </c>
      <c r="C217" s="6" t="s">
        <v>35</v>
      </c>
      <c r="D217" s="6" t="s">
        <v>36</v>
      </c>
      <c r="E217" s="7" t="s">
        <v>37</v>
      </c>
      <c r="F217" s="7" t="s">
        <v>38</v>
      </c>
      <c r="G217" s="8" t="str">
        <f t="shared" si="4"/>
        <v>vobc_17.14.1_3.3.2.1.7_216</v>
      </c>
      <c r="H217" s="9" t="s">
        <v>450</v>
      </c>
      <c r="I217" s="8" t="s">
        <v>40</v>
      </c>
      <c r="J217" s="21" t="s">
        <v>341</v>
      </c>
      <c r="K217" s="22" t="s">
        <v>461</v>
      </c>
      <c r="L217" s="6" t="s">
        <v>43</v>
      </c>
      <c r="M217" s="23">
        <v>45842</v>
      </c>
      <c r="N217" s="7" t="s">
        <v>44</v>
      </c>
      <c r="O217" s="8"/>
    </row>
    <row r="218" ht="94.5" spans="1:15">
      <c r="A218" s="11"/>
      <c r="B218" s="44"/>
      <c r="C218" s="6" t="s">
        <v>35</v>
      </c>
      <c r="D218" s="6" t="s">
        <v>36</v>
      </c>
      <c r="E218" s="7" t="s">
        <v>37</v>
      </c>
      <c r="F218" s="7" t="s">
        <v>38</v>
      </c>
      <c r="G218" s="8" t="str">
        <f t="shared" si="4"/>
        <v>vobc_17.14.1_3.3.2.1.7_217</v>
      </c>
      <c r="H218" s="9" t="s">
        <v>462</v>
      </c>
      <c r="I218" s="8" t="s">
        <v>40</v>
      </c>
      <c r="J218" s="21" t="s">
        <v>344</v>
      </c>
      <c r="K218" s="22" t="s">
        <v>463</v>
      </c>
      <c r="L218" s="6" t="s">
        <v>43</v>
      </c>
      <c r="M218" s="23">
        <v>45842</v>
      </c>
      <c r="N218" s="7" t="s">
        <v>44</v>
      </c>
      <c r="O218" s="8"/>
    </row>
    <row r="219" ht="94.5" spans="1:15">
      <c r="A219" s="11"/>
      <c r="B219" s="44"/>
      <c r="C219" s="6" t="s">
        <v>35</v>
      </c>
      <c r="D219" s="6" t="s">
        <v>36</v>
      </c>
      <c r="E219" s="7" t="s">
        <v>37</v>
      </c>
      <c r="F219" s="7" t="s">
        <v>38</v>
      </c>
      <c r="G219" s="8" t="str">
        <f t="shared" si="4"/>
        <v>vobc_17.14.1_3.3.2.1.7_218</v>
      </c>
      <c r="H219" s="9" t="s">
        <v>464</v>
      </c>
      <c r="I219" s="8" t="s">
        <v>40</v>
      </c>
      <c r="J219" s="21" t="s">
        <v>347</v>
      </c>
      <c r="K219" s="22" t="s">
        <v>465</v>
      </c>
      <c r="L219" s="6" t="s">
        <v>43</v>
      </c>
      <c r="M219" s="23">
        <v>45842</v>
      </c>
      <c r="N219" s="7" t="s">
        <v>44</v>
      </c>
      <c r="O219" s="8"/>
    </row>
    <row r="220" ht="94.5" spans="1:15">
      <c r="A220" s="11"/>
      <c r="B220" s="44"/>
      <c r="C220" s="6" t="s">
        <v>35</v>
      </c>
      <c r="D220" s="6" t="s">
        <v>36</v>
      </c>
      <c r="E220" s="7" t="s">
        <v>37</v>
      </c>
      <c r="F220" s="7" t="s">
        <v>38</v>
      </c>
      <c r="G220" s="8" t="str">
        <f t="shared" si="4"/>
        <v>vobc_17.14.1_3.3.2.1.7_219</v>
      </c>
      <c r="H220" s="9" t="s">
        <v>466</v>
      </c>
      <c r="I220" s="8" t="s">
        <v>40</v>
      </c>
      <c r="J220" s="21" t="s">
        <v>350</v>
      </c>
      <c r="K220" s="22" t="s">
        <v>467</v>
      </c>
      <c r="L220" s="6" t="s">
        <v>43</v>
      </c>
      <c r="M220" s="23">
        <v>45842</v>
      </c>
      <c r="N220" s="7" t="s">
        <v>44</v>
      </c>
      <c r="O220" s="8"/>
    </row>
    <row r="221" ht="94.5" spans="1:15">
      <c r="A221" s="11"/>
      <c r="B221" s="44"/>
      <c r="C221" s="6" t="s">
        <v>35</v>
      </c>
      <c r="D221" s="6" t="s">
        <v>36</v>
      </c>
      <c r="E221" s="7" t="s">
        <v>37</v>
      </c>
      <c r="F221" s="7" t="s">
        <v>38</v>
      </c>
      <c r="G221" s="8" t="str">
        <f t="shared" si="4"/>
        <v>vobc_17.14.1_3.3.2.1.7_220</v>
      </c>
      <c r="H221" s="9" t="s">
        <v>468</v>
      </c>
      <c r="I221" s="8" t="s">
        <v>40</v>
      </c>
      <c r="J221" s="21" t="s">
        <v>353</v>
      </c>
      <c r="K221" s="22" t="s">
        <v>469</v>
      </c>
      <c r="L221" s="6" t="s">
        <v>43</v>
      </c>
      <c r="M221" s="23">
        <v>45842</v>
      </c>
      <c r="N221" s="7" t="s">
        <v>44</v>
      </c>
      <c r="O221" s="8"/>
    </row>
    <row r="222" ht="28.5" spans="1:15">
      <c r="A222" s="11"/>
      <c r="B222" s="44" t="s">
        <v>470</v>
      </c>
      <c r="C222" s="6" t="s">
        <v>35</v>
      </c>
      <c r="D222" s="6" t="s">
        <v>36</v>
      </c>
      <c r="E222" s="7" t="s">
        <v>37</v>
      </c>
      <c r="F222" s="7" t="s">
        <v>38</v>
      </c>
      <c r="G222" s="8" t="str">
        <f t="shared" si="4"/>
        <v>vobc_17.14.1_3.3.2.1.7_221</v>
      </c>
      <c r="H222" s="9" t="s">
        <v>471</v>
      </c>
      <c r="I222" s="8" t="s">
        <v>40</v>
      </c>
      <c r="J222" s="21" t="s">
        <v>341</v>
      </c>
      <c r="K222" s="22" t="s">
        <v>472</v>
      </c>
      <c r="L222" s="6" t="s">
        <v>43</v>
      </c>
      <c r="M222" s="23">
        <v>45842</v>
      </c>
      <c r="N222" s="7" t="s">
        <v>44</v>
      </c>
      <c r="O222" s="8"/>
    </row>
    <row r="223" ht="94.5" spans="1:15">
      <c r="A223" s="11"/>
      <c r="B223" s="44"/>
      <c r="C223" s="6" t="s">
        <v>35</v>
      </c>
      <c r="D223" s="6" t="s">
        <v>36</v>
      </c>
      <c r="E223" s="7" t="s">
        <v>37</v>
      </c>
      <c r="F223" s="7" t="s">
        <v>38</v>
      </c>
      <c r="G223" s="8" t="str">
        <f t="shared" si="4"/>
        <v>vobc_17.14.1_3.3.2.1.7_222</v>
      </c>
      <c r="H223" s="9" t="s">
        <v>473</v>
      </c>
      <c r="I223" s="8" t="s">
        <v>40</v>
      </c>
      <c r="J223" s="21" t="s">
        <v>344</v>
      </c>
      <c r="K223" s="22" t="s">
        <v>474</v>
      </c>
      <c r="L223" s="6" t="s">
        <v>43</v>
      </c>
      <c r="M223" s="23">
        <v>45842</v>
      </c>
      <c r="N223" s="7" t="s">
        <v>44</v>
      </c>
      <c r="O223" s="8"/>
    </row>
    <row r="224" ht="94.5" spans="1:15">
      <c r="A224" s="11"/>
      <c r="B224" s="44"/>
      <c r="C224" s="6" t="s">
        <v>35</v>
      </c>
      <c r="D224" s="6" t="s">
        <v>36</v>
      </c>
      <c r="E224" s="7" t="s">
        <v>37</v>
      </c>
      <c r="F224" s="7" t="s">
        <v>38</v>
      </c>
      <c r="G224" s="8" t="str">
        <f t="shared" si="4"/>
        <v>vobc_17.14.1_3.3.2.1.7_223</v>
      </c>
      <c r="H224" s="9" t="s">
        <v>475</v>
      </c>
      <c r="I224" s="8" t="s">
        <v>40</v>
      </c>
      <c r="J224" s="21" t="s">
        <v>347</v>
      </c>
      <c r="K224" s="22" t="s">
        <v>476</v>
      </c>
      <c r="L224" s="6" t="s">
        <v>43</v>
      </c>
      <c r="M224" s="23">
        <v>45842</v>
      </c>
      <c r="N224" s="7" t="s">
        <v>44</v>
      </c>
      <c r="O224" s="8"/>
    </row>
    <row r="225" ht="94.5" spans="1:15">
      <c r="A225" s="11"/>
      <c r="B225" s="44"/>
      <c r="C225" s="6" t="s">
        <v>35</v>
      </c>
      <c r="D225" s="6" t="s">
        <v>36</v>
      </c>
      <c r="E225" s="7" t="s">
        <v>37</v>
      </c>
      <c r="F225" s="7" t="s">
        <v>38</v>
      </c>
      <c r="G225" s="8" t="str">
        <f t="shared" si="4"/>
        <v>vobc_17.14.1_3.3.2.1.7_224</v>
      </c>
      <c r="H225" s="9" t="s">
        <v>477</v>
      </c>
      <c r="I225" s="8" t="s">
        <v>40</v>
      </c>
      <c r="J225" s="21" t="s">
        <v>350</v>
      </c>
      <c r="K225" s="22" t="s">
        <v>478</v>
      </c>
      <c r="L225" s="6" t="s">
        <v>43</v>
      </c>
      <c r="M225" s="23">
        <v>45842</v>
      </c>
      <c r="N225" s="7" t="s">
        <v>44</v>
      </c>
      <c r="O225" s="8"/>
    </row>
    <row r="226" ht="94.5" spans="1:15">
      <c r="A226" s="11"/>
      <c r="B226" s="44"/>
      <c r="C226" s="6" t="s">
        <v>35</v>
      </c>
      <c r="D226" s="6" t="s">
        <v>36</v>
      </c>
      <c r="E226" s="7" t="s">
        <v>37</v>
      </c>
      <c r="F226" s="7" t="s">
        <v>38</v>
      </c>
      <c r="G226" s="8" t="str">
        <f t="shared" ref="G226:G289" si="5">"vobc_17.14.1_3.3.2.1.7_"&amp;ROW()-1</f>
        <v>vobc_17.14.1_3.3.2.1.7_225</v>
      </c>
      <c r="H226" s="9" t="s">
        <v>479</v>
      </c>
      <c r="I226" s="8" t="s">
        <v>40</v>
      </c>
      <c r="J226" s="21" t="s">
        <v>353</v>
      </c>
      <c r="K226" s="22" t="s">
        <v>480</v>
      </c>
      <c r="L226" s="6" t="s">
        <v>43</v>
      </c>
      <c r="M226" s="23">
        <v>45842</v>
      </c>
      <c r="N226" s="7" t="s">
        <v>44</v>
      </c>
      <c r="O226" s="8"/>
    </row>
    <row r="227" ht="28.5" spans="1:15">
      <c r="A227" s="11"/>
      <c r="B227" s="44" t="s">
        <v>481</v>
      </c>
      <c r="C227" s="6" t="s">
        <v>35</v>
      </c>
      <c r="D227" s="6" t="s">
        <v>36</v>
      </c>
      <c r="E227" s="7" t="s">
        <v>37</v>
      </c>
      <c r="F227" s="7" t="s">
        <v>38</v>
      </c>
      <c r="G227" s="8" t="str">
        <f t="shared" si="5"/>
        <v>vobc_17.14.1_3.3.2.1.7_226</v>
      </c>
      <c r="H227" s="9" t="s">
        <v>471</v>
      </c>
      <c r="I227" s="8" t="s">
        <v>40</v>
      </c>
      <c r="J227" s="21" t="s">
        <v>341</v>
      </c>
      <c r="K227" s="22" t="s">
        <v>482</v>
      </c>
      <c r="L227" s="6" t="s">
        <v>43</v>
      </c>
      <c r="M227" s="23">
        <v>45842</v>
      </c>
      <c r="N227" s="7" t="s">
        <v>44</v>
      </c>
      <c r="O227" s="8"/>
    </row>
    <row r="228" ht="94.5" spans="1:15">
      <c r="A228" s="11"/>
      <c r="B228" s="44"/>
      <c r="C228" s="6" t="s">
        <v>35</v>
      </c>
      <c r="D228" s="6" t="s">
        <v>36</v>
      </c>
      <c r="E228" s="7" t="s">
        <v>37</v>
      </c>
      <c r="F228" s="7" t="s">
        <v>38</v>
      </c>
      <c r="G228" s="8" t="str">
        <f t="shared" si="5"/>
        <v>vobc_17.14.1_3.3.2.1.7_227</v>
      </c>
      <c r="H228" s="9" t="s">
        <v>483</v>
      </c>
      <c r="I228" s="8" t="s">
        <v>40</v>
      </c>
      <c r="J228" s="21" t="s">
        <v>344</v>
      </c>
      <c r="K228" s="22" t="s">
        <v>484</v>
      </c>
      <c r="L228" s="6" t="s">
        <v>43</v>
      </c>
      <c r="M228" s="23">
        <v>45842</v>
      </c>
      <c r="N228" s="7" t="s">
        <v>44</v>
      </c>
      <c r="O228" s="8"/>
    </row>
    <row r="229" ht="94.5" spans="1:15">
      <c r="A229" s="11"/>
      <c r="B229" s="44"/>
      <c r="C229" s="6" t="s">
        <v>35</v>
      </c>
      <c r="D229" s="6" t="s">
        <v>36</v>
      </c>
      <c r="E229" s="7" t="s">
        <v>37</v>
      </c>
      <c r="F229" s="7" t="s">
        <v>38</v>
      </c>
      <c r="G229" s="8" t="str">
        <f t="shared" si="5"/>
        <v>vobc_17.14.1_3.3.2.1.7_228</v>
      </c>
      <c r="H229" s="9" t="s">
        <v>485</v>
      </c>
      <c r="I229" s="8" t="s">
        <v>40</v>
      </c>
      <c r="J229" s="21" t="s">
        <v>347</v>
      </c>
      <c r="K229" s="22" t="s">
        <v>486</v>
      </c>
      <c r="L229" s="6" t="s">
        <v>43</v>
      </c>
      <c r="M229" s="23">
        <v>45842</v>
      </c>
      <c r="N229" s="7" t="s">
        <v>44</v>
      </c>
      <c r="O229" s="8"/>
    </row>
    <row r="230" ht="94.5" spans="1:15">
      <c r="A230" s="11"/>
      <c r="B230" s="44"/>
      <c r="C230" s="6" t="s">
        <v>35</v>
      </c>
      <c r="D230" s="6" t="s">
        <v>36</v>
      </c>
      <c r="E230" s="7" t="s">
        <v>37</v>
      </c>
      <c r="F230" s="7" t="s">
        <v>38</v>
      </c>
      <c r="G230" s="8" t="str">
        <f t="shared" si="5"/>
        <v>vobc_17.14.1_3.3.2.1.7_229</v>
      </c>
      <c r="H230" s="9" t="s">
        <v>487</v>
      </c>
      <c r="I230" s="8" t="s">
        <v>40</v>
      </c>
      <c r="J230" s="21" t="s">
        <v>350</v>
      </c>
      <c r="K230" s="22" t="s">
        <v>488</v>
      </c>
      <c r="L230" s="6" t="s">
        <v>43</v>
      </c>
      <c r="M230" s="23">
        <v>45842</v>
      </c>
      <c r="N230" s="7" t="s">
        <v>44</v>
      </c>
      <c r="O230" s="8"/>
    </row>
    <row r="231" ht="94.5" spans="1:15">
      <c r="A231" s="11"/>
      <c r="B231" s="44"/>
      <c r="C231" s="6" t="s">
        <v>35</v>
      </c>
      <c r="D231" s="6" t="s">
        <v>36</v>
      </c>
      <c r="E231" s="7" t="s">
        <v>37</v>
      </c>
      <c r="F231" s="7" t="s">
        <v>38</v>
      </c>
      <c r="G231" s="8" t="str">
        <f t="shared" si="5"/>
        <v>vobc_17.14.1_3.3.2.1.7_230</v>
      </c>
      <c r="H231" s="9" t="s">
        <v>489</v>
      </c>
      <c r="I231" s="8" t="s">
        <v>40</v>
      </c>
      <c r="J231" s="21" t="s">
        <v>353</v>
      </c>
      <c r="K231" s="22" t="s">
        <v>490</v>
      </c>
      <c r="L231" s="6" t="s">
        <v>43</v>
      </c>
      <c r="M231" s="23">
        <v>45842</v>
      </c>
      <c r="N231" s="7" t="s">
        <v>44</v>
      </c>
      <c r="O231" s="8"/>
    </row>
    <row r="232" ht="28.5" spans="1:15">
      <c r="A232" s="11"/>
      <c r="B232" s="44" t="s">
        <v>491</v>
      </c>
      <c r="C232" s="6" t="s">
        <v>35</v>
      </c>
      <c r="D232" s="6" t="s">
        <v>36</v>
      </c>
      <c r="E232" s="7" t="s">
        <v>37</v>
      </c>
      <c r="F232" s="7" t="s">
        <v>38</v>
      </c>
      <c r="G232" s="8" t="str">
        <f t="shared" si="5"/>
        <v>vobc_17.14.1_3.3.2.1.7_231</v>
      </c>
      <c r="H232" s="9" t="s">
        <v>492</v>
      </c>
      <c r="I232" s="8" t="s">
        <v>40</v>
      </c>
      <c r="J232" s="21" t="s">
        <v>341</v>
      </c>
      <c r="K232" s="22" t="s">
        <v>493</v>
      </c>
      <c r="L232" s="6" t="s">
        <v>43</v>
      </c>
      <c r="M232" s="23">
        <v>45842</v>
      </c>
      <c r="N232" s="7" t="s">
        <v>44</v>
      </c>
      <c r="O232" s="8"/>
    </row>
    <row r="233" ht="94.5" spans="1:15">
      <c r="A233" s="11"/>
      <c r="B233" s="44"/>
      <c r="C233" s="6" t="s">
        <v>35</v>
      </c>
      <c r="D233" s="6" t="s">
        <v>36</v>
      </c>
      <c r="E233" s="7" t="s">
        <v>37</v>
      </c>
      <c r="F233" s="7" t="s">
        <v>38</v>
      </c>
      <c r="G233" s="8" t="str">
        <f t="shared" si="5"/>
        <v>vobc_17.14.1_3.3.2.1.7_232</v>
      </c>
      <c r="H233" s="9" t="s">
        <v>494</v>
      </c>
      <c r="I233" s="8" t="s">
        <v>40</v>
      </c>
      <c r="J233" s="21" t="s">
        <v>344</v>
      </c>
      <c r="K233" s="22" t="s">
        <v>495</v>
      </c>
      <c r="L233" s="6" t="s">
        <v>43</v>
      </c>
      <c r="M233" s="23">
        <v>45842</v>
      </c>
      <c r="N233" s="7" t="s">
        <v>44</v>
      </c>
      <c r="O233" s="8"/>
    </row>
    <row r="234" ht="94.5" spans="1:15">
      <c r="A234" s="11"/>
      <c r="B234" s="44"/>
      <c r="C234" s="6" t="s">
        <v>35</v>
      </c>
      <c r="D234" s="6" t="s">
        <v>36</v>
      </c>
      <c r="E234" s="7" t="s">
        <v>37</v>
      </c>
      <c r="F234" s="7" t="s">
        <v>38</v>
      </c>
      <c r="G234" s="8" t="str">
        <f t="shared" si="5"/>
        <v>vobc_17.14.1_3.3.2.1.7_233</v>
      </c>
      <c r="H234" s="9" t="s">
        <v>496</v>
      </c>
      <c r="I234" s="8" t="s">
        <v>40</v>
      </c>
      <c r="J234" s="21" t="s">
        <v>347</v>
      </c>
      <c r="K234" s="22" t="s">
        <v>497</v>
      </c>
      <c r="L234" s="6" t="s">
        <v>43</v>
      </c>
      <c r="M234" s="23">
        <v>45842</v>
      </c>
      <c r="N234" s="7" t="s">
        <v>44</v>
      </c>
      <c r="O234" s="8"/>
    </row>
    <row r="235" ht="94.5" spans="1:15">
      <c r="A235" s="11"/>
      <c r="B235" s="44"/>
      <c r="C235" s="6" t="s">
        <v>35</v>
      </c>
      <c r="D235" s="6" t="s">
        <v>36</v>
      </c>
      <c r="E235" s="7" t="s">
        <v>37</v>
      </c>
      <c r="F235" s="7" t="s">
        <v>38</v>
      </c>
      <c r="G235" s="8" t="str">
        <f t="shared" si="5"/>
        <v>vobc_17.14.1_3.3.2.1.7_234</v>
      </c>
      <c r="H235" s="9" t="s">
        <v>498</v>
      </c>
      <c r="I235" s="8" t="s">
        <v>40</v>
      </c>
      <c r="J235" s="21" t="s">
        <v>350</v>
      </c>
      <c r="K235" s="22" t="s">
        <v>499</v>
      </c>
      <c r="L235" s="6" t="s">
        <v>43</v>
      </c>
      <c r="M235" s="23">
        <v>45842</v>
      </c>
      <c r="N235" s="7" t="s">
        <v>44</v>
      </c>
      <c r="O235" s="8"/>
    </row>
    <row r="236" ht="94.5" spans="1:15">
      <c r="A236" s="11"/>
      <c r="B236" s="44"/>
      <c r="C236" s="6" t="s">
        <v>35</v>
      </c>
      <c r="D236" s="6" t="s">
        <v>36</v>
      </c>
      <c r="E236" s="7" t="s">
        <v>37</v>
      </c>
      <c r="F236" s="7" t="s">
        <v>38</v>
      </c>
      <c r="G236" s="8" t="str">
        <f t="shared" si="5"/>
        <v>vobc_17.14.1_3.3.2.1.7_235</v>
      </c>
      <c r="H236" s="9" t="s">
        <v>500</v>
      </c>
      <c r="I236" s="8" t="s">
        <v>40</v>
      </c>
      <c r="J236" s="21" t="s">
        <v>353</v>
      </c>
      <c r="K236" s="22" t="s">
        <v>501</v>
      </c>
      <c r="L236" s="6" t="s">
        <v>43</v>
      </c>
      <c r="M236" s="23">
        <v>45842</v>
      </c>
      <c r="N236" s="7" t="s">
        <v>44</v>
      </c>
      <c r="O236" s="8"/>
    </row>
    <row r="237" ht="28.5" spans="1:15">
      <c r="A237" s="11"/>
      <c r="B237" s="44" t="s">
        <v>502</v>
      </c>
      <c r="C237" s="6" t="s">
        <v>35</v>
      </c>
      <c r="D237" s="6" t="s">
        <v>36</v>
      </c>
      <c r="E237" s="7" t="s">
        <v>37</v>
      </c>
      <c r="F237" s="7" t="s">
        <v>38</v>
      </c>
      <c r="G237" s="8" t="str">
        <f t="shared" si="5"/>
        <v>vobc_17.14.1_3.3.2.1.7_236</v>
      </c>
      <c r="H237" s="9" t="s">
        <v>492</v>
      </c>
      <c r="I237" s="8" t="s">
        <v>40</v>
      </c>
      <c r="J237" s="21" t="s">
        <v>341</v>
      </c>
      <c r="K237" s="22" t="s">
        <v>503</v>
      </c>
      <c r="L237" s="6" t="s">
        <v>43</v>
      </c>
      <c r="M237" s="23">
        <v>45842</v>
      </c>
      <c r="N237" s="7" t="s">
        <v>44</v>
      </c>
      <c r="O237" s="8"/>
    </row>
    <row r="238" ht="94.5" spans="1:15">
      <c r="A238" s="11"/>
      <c r="B238" s="44"/>
      <c r="C238" s="6" t="s">
        <v>35</v>
      </c>
      <c r="D238" s="6" t="s">
        <v>36</v>
      </c>
      <c r="E238" s="7" t="s">
        <v>37</v>
      </c>
      <c r="F238" s="7" t="s">
        <v>38</v>
      </c>
      <c r="G238" s="8" t="str">
        <f t="shared" si="5"/>
        <v>vobc_17.14.1_3.3.2.1.7_237</v>
      </c>
      <c r="H238" s="9" t="s">
        <v>504</v>
      </c>
      <c r="I238" s="8" t="s">
        <v>40</v>
      </c>
      <c r="J238" s="21" t="s">
        <v>344</v>
      </c>
      <c r="K238" s="22" t="s">
        <v>505</v>
      </c>
      <c r="L238" s="6" t="s">
        <v>43</v>
      </c>
      <c r="M238" s="23">
        <v>45842</v>
      </c>
      <c r="N238" s="7" t="s">
        <v>44</v>
      </c>
      <c r="O238" s="8"/>
    </row>
    <row r="239" ht="94.5" spans="1:15">
      <c r="A239" s="11"/>
      <c r="B239" s="44"/>
      <c r="C239" s="6" t="s">
        <v>35</v>
      </c>
      <c r="D239" s="6" t="s">
        <v>36</v>
      </c>
      <c r="E239" s="7" t="s">
        <v>37</v>
      </c>
      <c r="F239" s="7" t="s">
        <v>38</v>
      </c>
      <c r="G239" s="8" t="str">
        <f t="shared" si="5"/>
        <v>vobc_17.14.1_3.3.2.1.7_238</v>
      </c>
      <c r="H239" s="9" t="s">
        <v>506</v>
      </c>
      <c r="I239" s="8" t="s">
        <v>40</v>
      </c>
      <c r="J239" s="21" t="s">
        <v>347</v>
      </c>
      <c r="K239" s="22" t="s">
        <v>507</v>
      </c>
      <c r="L239" s="6" t="s">
        <v>43</v>
      </c>
      <c r="M239" s="23">
        <v>45842</v>
      </c>
      <c r="N239" s="7" t="s">
        <v>44</v>
      </c>
      <c r="O239" s="8"/>
    </row>
    <row r="240" ht="94.5" spans="1:15">
      <c r="A240" s="11"/>
      <c r="B240" s="44"/>
      <c r="C240" s="6" t="s">
        <v>35</v>
      </c>
      <c r="D240" s="6" t="s">
        <v>36</v>
      </c>
      <c r="E240" s="7" t="s">
        <v>37</v>
      </c>
      <c r="F240" s="7" t="s">
        <v>38</v>
      </c>
      <c r="G240" s="8" t="str">
        <f t="shared" si="5"/>
        <v>vobc_17.14.1_3.3.2.1.7_239</v>
      </c>
      <c r="H240" s="9" t="s">
        <v>508</v>
      </c>
      <c r="I240" s="8" t="s">
        <v>40</v>
      </c>
      <c r="J240" s="21" t="s">
        <v>350</v>
      </c>
      <c r="K240" s="22" t="s">
        <v>509</v>
      </c>
      <c r="L240" s="6" t="s">
        <v>43</v>
      </c>
      <c r="M240" s="23">
        <v>45842</v>
      </c>
      <c r="N240" s="7" t="s">
        <v>44</v>
      </c>
      <c r="O240" s="8"/>
    </row>
    <row r="241" ht="94.5" spans="1:15">
      <c r="A241" s="11"/>
      <c r="B241" s="44"/>
      <c r="C241" s="6" t="s">
        <v>35</v>
      </c>
      <c r="D241" s="6" t="s">
        <v>36</v>
      </c>
      <c r="E241" s="7" t="s">
        <v>37</v>
      </c>
      <c r="F241" s="7" t="s">
        <v>38</v>
      </c>
      <c r="G241" s="8" t="str">
        <f t="shared" si="5"/>
        <v>vobc_17.14.1_3.3.2.1.7_240</v>
      </c>
      <c r="H241" s="9" t="s">
        <v>510</v>
      </c>
      <c r="I241" s="8" t="s">
        <v>40</v>
      </c>
      <c r="J241" s="21" t="s">
        <v>353</v>
      </c>
      <c r="K241" s="22" t="s">
        <v>511</v>
      </c>
      <c r="L241" s="6" t="s">
        <v>43</v>
      </c>
      <c r="M241" s="23">
        <v>45842</v>
      </c>
      <c r="N241" s="7" t="s">
        <v>44</v>
      </c>
      <c r="O241" s="8"/>
    </row>
    <row r="242" ht="28.5" spans="1:15">
      <c r="A242" s="11"/>
      <c r="B242" s="44" t="s">
        <v>512</v>
      </c>
      <c r="C242" s="6" t="s">
        <v>35</v>
      </c>
      <c r="D242" s="6" t="s">
        <v>36</v>
      </c>
      <c r="E242" s="7" t="s">
        <v>37</v>
      </c>
      <c r="F242" s="7" t="s">
        <v>38</v>
      </c>
      <c r="G242" s="8" t="str">
        <f t="shared" si="5"/>
        <v>vobc_17.14.1_3.3.2.1.7_241</v>
      </c>
      <c r="H242" s="9" t="s">
        <v>513</v>
      </c>
      <c r="I242" s="8" t="s">
        <v>40</v>
      </c>
      <c r="J242" s="21" t="s">
        <v>341</v>
      </c>
      <c r="K242" s="22" t="s">
        <v>514</v>
      </c>
      <c r="L242" s="6" t="s">
        <v>43</v>
      </c>
      <c r="M242" s="23">
        <v>45842</v>
      </c>
      <c r="N242" s="7" t="s">
        <v>44</v>
      </c>
      <c r="O242" s="8"/>
    </row>
    <row r="243" ht="94.5" spans="1:15">
      <c r="A243" s="11"/>
      <c r="B243" s="44"/>
      <c r="C243" s="6" t="s">
        <v>35</v>
      </c>
      <c r="D243" s="6" t="s">
        <v>36</v>
      </c>
      <c r="E243" s="7" t="s">
        <v>37</v>
      </c>
      <c r="F243" s="7" t="s">
        <v>38</v>
      </c>
      <c r="G243" s="8" t="str">
        <f t="shared" si="5"/>
        <v>vobc_17.14.1_3.3.2.1.7_242</v>
      </c>
      <c r="H243" s="9" t="s">
        <v>515</v>
      </c>
      <c r="I243" s="8" t="s">
        <v>40</v>
      </c>
      <c r="J243" s="21" t="s">
        <v>344</v>
      </c>
      <c r="K243" s="22" t="s">
        <v>516</v>
      </c>
      <c r="L243" s="6" t="s">
        <v>43</v>
      </c>
      <c r="M243" s="23">
        <v>45842</v>
      </c>
      <c r="N243" s="7" t="s">
        <v>44</v>
      </c>
      <c r="O243" s="8"/>
    </row>
    <row r="244" ht="94.5" spans="1:15">
      <c r="A244" s="11"/>
      <c r="B244" s="44"/>
      <c r="C244" s="6" t="s">
        <v>35</v>
      </c>
      <c r="D244" s="6" t="s">
        <v>36</v>
      </c>
      <c r="E244" s="7" t="s">
        <v>37</v>
      </c>
      <c r="F244" s="7" t="s">
        <v>38</v>
      </c>
      <c r="G244" s="8" t="str">
        <f t="shared" si="5"/>
        <v>vobc_17.14.1_3.3.2.1.7_243</v>
      </c>
      <c r="H244" s="9" t="s">
        <v>517</v>
      </c>
      <c r="I244" s="8" t="s">
        <v>40</v>
      </c>
      <c r="J244" s="21" t="s">
        <v>347</v>
      </c>
      <c r="K244" s="22" t="s">
        <v>518</v>
      </c>
      <c r="L244" s="6" t="s">
        <v>43</v>
      </c>
      <c r="M244" s="23">
        <v>45842</v>
      </c>
      <c r="N244" s="7" t="s">
        <v>44</v>
      </c>
      <c r="O244" s="8"/>
    </row>
    <row r="245" ht="94.5" spans="1:15">
      <c r="A245" s="11"/>
      <c r="B245" s="44"/>
      <c r="C245" s="6" t="s">
        <v>35</v>
      </c>
      <c r="D245" s="6" t="s">
        <v>36</v>
      </c>
      <c r="E245" s="7" t="s">
        <v>37</v>
      </c>
      <c r="F245" s="7" t="s">
        <v>38</v>
      </c>
      <c r="G245" s="8" t="str">
        <f t="shared" si="5"/>
        <v>vobc_17.14.1_3.3.2.1.7_244</v>
      </c>
      <c r="H245" s="9" t="s">
        <v>519</v>
      </c>
      <c r="I245" s="8" t="s">
        <v>40</v>
      </c>
      <c r="J245" s="21" t="s">
        <v>350</v>
      </c>
      <c r="K245" s="22" t="s">
        <v>520</v>
      </c>
      <c r="L245" s="6" t="s">
        <v>43</v>
      </c>
      <c r="M245" s="23">
        <v>45842</v>
      </c>
      <c r="N245" s="7" t="s">
        <v>44</v>
      </c>
      <c r="O245" s="8"/>
    </row>
    <row r="246" ht="94.5" spans="1:15">
      <c r="A246" s="11"/>
      <c r="B246" s="44"/>
      <c r="C246" s="6" t="s">
        <v>35</v>
      </c>
      <c r="D246" s="6" t="s">
        <v>36</v>
      </c>
      <c r="E246" s="7" t="s">
        <v>37</v>
      </c>
      <c r="F246" s="7" t="s">
        <v>38</v>
      </c>
      <c r="G246" s="8" t="str">
        <f t="shared" si="5"/>
        <v>vobc_17.14.1_3.3.2.1.7_245</v>
      </c>
      <c r="H246" s="9" t="s">
        <v>521</v>
      </c>
      <c r="I246" s="8" t="s">
        <v>40</v>
      </c>
      <c r="J246" s="21" t="s">
        <v>353</v>
      </c>
      <c r="K246" s="22" t="s">
        <v>522</v>
      </c>
      <c r="L246" s="6" t="s">
        <v>43</v>
      </c>
      <c r="M246" s="23">
        <v>45842</v>
      </c>
      <c r="N246" s="7" t="s">
        <v>44</v>
      </c>
      <c r="O246" s="8"/>
    </row>
    <row r="247" ht="28.5" spans="1:15">
      <c r="A247" s="11"/>
      <c r="B247" s="44" t="s">
        <v>523</v>
      </c>
      <c r="C247" s="6" t="s">
        <v>35</v>
      </c>
      <c r="D247" s="6" t="s">
        <v>36</v>
      </c>
      <c r="E247" s="7" t="s">
        <v>37</v>
      </c>
      <c r="F247" s="7" t="s">
        <v>38</v>
      </c>
      <c r="G247" s="8" t="str">
        <f t="shared" si="5"/>
        <v>vobc_17.14.1_3.3.2.1.7_246</v>
      </c>
      <c r="H247" s="9" t="s">
        <v>513</v>
      </c>
      <c r="I247" s="8" t="s">
        <v>40</v>
      </c>
      <c r="J247" s="21" t="s">
        <v>341</v>
      </c>
      <c r="K247" s="22" t="s">
        <v>524</v>
      </c>
      <c r="L247" s="6" t="s">
        <v>43</v>
      </c>
      <c r="M247" s="23">
        <v>45842</v>
      </c>
      <c r="N247" s="7" t="s">
        <v>44</v>
      </c>
      <c r="O247" s="8"/>
    </row>
    <row r="248" ht="94.5" spans="1:15">
      <c r="A248" s="11"/>
      <c r="B248" s="44"/>
      <c r="C248" s="6" t="s">
        <v>35</v>
      </c>
      <c r="D248" s="6" t="s">
        <v>36</v>
      </c>
      <c r="E248" s="7" t="s">
        <v>37</v>
      </c>
      <c r="F248" s="7" t="s">
        <v>38</v>
      </c>
      <c r="G248" s="8" t="str">
        <f t="shared" si="5"/>
        <v>vobc_17.14.1_3.3.2.1.7_247</v>
      </c>
      <c r="H248" s="9" t="s">
        <v>525</v>
      </c>
      <c r="I248" s="8" t="s">
        <v>40</v>
      </c>
      <c r="J248" s="21" t="s">
        <v>344</v>
      </c>
      <c r="K248" s="22" t="s">
        <v>526</v>
      </c>
      <c r="L248" s="6" t="s">
        <v>43</v>
      </c>
      <c r="M248" s="23">
        <v>45842</v>
      </c>
      <c r="N248" s="7" t="s">
        <v>44</v>
      </c>
      <c r="O248" s="8"/>
    </row>
    <row r="249" ht="94.5" spans="1:15">
      <c r="A249" s="11"/>
      <c r="B249" s="44"/>
      <c r="C249" s="6" t="s">
        <v>35</v>
      </c>
      <c r="D249" s="6" t="s">
        <v>36</v>
      </c>
      <c r="E249" s="7" t="s">
        <v>37</v>
      </c>
      <c r="F249" s="7" t="s">
        <v>38</v>
      </c>
      <c r="G249" s="8" t="str">
        <f t="shared" si="5"/>
        <v>vobc_17.14.1_3.3.2.1.7_248</v>
      </c>
      <c r="H249" s="9" t="s">
        <v>527</v>
      </c>
      <c r="I249" s="8" t="s">
        <v>40</v>
      </c>
      <c r="J249" s="21" t="s">
        <v>347</v>
      </c>
      <c r="K249" s="22" t="s">
        <v>528</v>
      </c>
      <c r="L249" s="6" t="s">
        <v>43</v>
      </c>
      <c r="M249" s="23">
        <v>45842</v>
      </c>
      <c r="N249" s="7" t="s">
        <v>44</v>
      </c>
      <c r="O249" s="8"/>
    </row>
    <row r="250" ht="94.5" spans="1:15">
      <c r="A250" s="11"/>
      <c r="B250" s="44"/>
      <c r="C250" s="6" t="s">
        <v>35</v>
      </c>
      <c r="D250" s="6" t="s">
        <v>36</v>
      </c>
      <c r="E250" s="7" t="s">
        <v>37</v>
      </c>
      <c r="F250" s="7" t="s">
        <v>38</v>
      </c>
      <c r="G250" s="8" t="str">
        <f t="shared" si="5"/>
        <v>vobc_17.14.1_3.3.2.1.7_249</v>
      </c>
      <c r="H250" s="9" t="s">
        <v>529</v>
      </c>
      <c r="I250" s="8" t="s">
        <v>40</v>
      </c>
      <c r="J250" s="21" t="s">
        <v>350</v>
      </c>
      <c r="K250" s="22" t="s">
        <v>530</v>
      </c>
      <c r="L250" s="6" t="s">
        <v>43</v>
      </c>
      <c r="M250" s="23">
        <v>45842</v>
      </c>
      <c r="N250" s="7" t="s">
        <v>44</v>
      </c>
      <c r="O250" s="8"/>
    </row>
    <row r="251" ht="94.5" spans="1:15">
      <c r="A251" s="11"/>
      <c r="B251" s="44"/>
      <c r="C251" s="6" t="s">
        <v>35</v>
      </c>
      <c r="D251" s="6" t="s">
        <v>36</v>
      </c>
      <c r="E251" s="7" t="s">
        <v>37</v>
      </c>
      <c r="F251" s="7" t="s">
        <v>38</v>
      </c>
      <c r="G251" s="8" t="str">
        <f t="shared" si="5"/>
        <v>vobc_17.14.1_3.3.2.1.7_250</v>
      </c>
      <c r="H251" s="9" t="s">
        <v>531</v>
      </c>
      <c r="I251" s="8" t="s">
        <v>40</v>
      </c>
      <c r="J251" s="21" t="s">
        <v>353</v>
      </c>
      <c r="K251" s="22" t="s">
        <v>532</v>
      </c>
      <c r="L251" s="6" t="s">
        <v>43</v>
      </c>
      <c r="M251" s="23">
        <v>45842</v>
      </c>
      <c r="N251" s="7" t="s">
        <v>44</v>
      </c>
      <c r="O251" s="8"/>
    </row>
    <row r="252" ht="28.5" spans="1:15">
      <c r="A252" s="11"/>
      <c r="B252" s="44" t="s">
        <v>533</v>
      </c>
      <c r="C252" s="6" t="s">
        <v>35</v>
      </c>
      <c r="D252" s="6" t="s">
        <v>36</v>
      </c>
      <c r="E252" s="7" t="s">
        <v>37</v>
      </c>
      <c r="F252" s="7" t="s">
        <v>38</v>
      </c>
      <c r="G252" s="8" t="str">
        <f t="shared" si="5"/>
        <v>vobc_17.14.1_3.3.2.1.7_251</v>
      </c>
      <c r="H252" s="9" t="s">
        <v>534</v>
      </c>
      <c r="I252" s="8" t="s">
        <v>40</v>
      </c>
      <c r="J252" s="21" t="s">
        <v>341</v>
      </c>
      <c r="K252" s="22" t="s">
        <v>535</v>
      </c>
      <c r="L252" s="6" t="s">
        <v>43</v>
      </c>
      <c r="M252" s="23">
        <v>45842</v>
      </c>
      <c r="N252" s="7" t="s">
        <v>44</v>
      </c>
      <c r="O252" s="8"/>
    </row>
    <row r="253" ht="94.5" spans="1:15">
      <c r="A253" s="11"/>
      <c r="B253" s="44"/>
      <c r="C253" s="6" t="s">
        <v>35</v>
      </c>
      <c r="D253" s="6" t="s">
        <v>36</v>
      </c>
      <c r="E253" s="7" t="s">
        <v>37</v>
      </c>
      <c r="F253" s="7" t="s">
        <v>38</v>
      </c>
      <c r="G253" s="8" t="str">
        <f t="shared" si="5"/>
        <v>vobc_17.14.1_3.3.2.1.7_252</v>
      </c>
      <c r="H253" s="9" t="s">
        <v>536</v>
      </c>
      <c r="I253" s="8" t="s">
        <v>40</v>
      </c>
      <c r="J253" s="21" t="s">
        <v>344</v>
      </c>
      <c r="K253" s="22" t="s">
        <v>537</v>
      </c>
      <c r="L253" s="6" t="s">
        <v>43</v>
      </c>
      <c r="M253" s="23">
        <v>45842</v>
      </c>
      <c r="N253" s="7" t="s">
        <v>44</v>
      </c>
      <c r="O253" s="8"/>
    </row>
    <row r="254" ht="94.5" spans="1:15">
      <c r="A254" s="11"/>
      <c r="B254" s="44"/>
      <c r="C254" s="6" t="s">
        <v>35</v>
      </c>
      <c r="D254" s="6" t="s">
        <v>36</v>
      </c>
      <c r="E254" s="7" t="s">
        <v>37</v>
      </c>
      <c r="F254" s="7" t="s">
        <v>38</v>
      </c>
      <c r="G254" s="8" t="str">
        <f t="shared" si="5"/>
        <v>vobc_17.14.1_3.3.2.1.7_253</v>
      </c>
      <c r="H254" s="9" t="s">
        <v>538</v>
      </c>
      <c r="I254" s="8" t="s">
        <v>40</v>
      </c>
      <c r="J254" s="21" t="s">
        <v>347</v>
      </c>
      <c r="K254" s="22" t="s">
        <v>539</v>
      </c>
      <c r="L254" s="6" t="s">
        <v>43</v>
      </c>
      <c r="M254" s="23">
        <v>45842</v>
      </c>
      <c r="N254" s="7" t="s">
        <v>44</v>
      </c>
      <c r="O254" s="8"/>
    </row>
    <row r="255" ht="94.5" spans="1:15">
      <c r="A255" s="11"/>
      <c r="B255" s="44"/>
      <c r="C255" s="6" t="s">
        <v>35</v>
      </c>
      <c r="D255" s="6" t="s">
        <v>36</v>
      </c>
      <c r="E255" s="7" t="s">
        <v>37</v>
      </c>
      <c r="F255" s="7" t="s">
        <v>38</v>
      </c>
      <c r="G255" s="8" t="str">
        <f t="shared" si="5"/>
        <v>vobc_17.14.1_3.3.2.1.7_254</v>
      </c>
      <c r="H255" s="9" t="s">
        <v>540</v>
      </c>
      <c r="I255" s="8" t="s">
        <v>40</v>
      </c>
      <c r="J255" s="21" t="s">
        <v>350</v>
      </c>
      <c r="K255" s="22" t="s">
        <v>541</v>
      </c>
      <c r="L255" s="6" t="s">
        <v>43</v>
      </c>
      <c r="M255" s="23">
        <v>45842</v>
      </c>
      <c r="N255" s="7" t="s">
        <v>44</v>
      </c>
      <c r="O255" s="8"/>
    </row>
    <row r="256" ht="94.5" spans="1:15">
      <c r="A256" s="11"/>
      <c r="B256" s="44"/>
      <c r="C256" s="6" t="s">
        <v>35</v>
      </c>
      <c r="D256" s="6" t="s">
        <v>36</v>
      </c>
      <c r="E256" s="7" t="s">
        <v>37</v>
      </c>
      <c r="F256" s="7" t="s">
        <v>38</v>
      </c>
      <c r="G256" s="8" t="str">
        <f t="shared" si="5"/>
        <v>vobc_17.14.1_3.3.2.1.7_255</v>
      </c>
      <c r="H256" s="9" t="s">
        <v>542</v>
      </c>
      <c r="I256" s="8" t="s">
        <v>40</v>
      </c>
      <c r="J256" s="21" t="s">
        <v>353</v>
      </c>
      <c r="K256" s="22" t="s">
        <v>543</v>
      </c>
      <c r="L256" s="6" t="s">
        <v>43</v>
      </c>
      <c r="M256" s="23">
        <v>45842</v>
      </c>
      <c r="N256" s="7" t="s">
        <v>44</v>
      </c>
      <c r="O256" s="8"/>
    </row>
    <row r="257" ht="28.5" spans="1:15">
      <c r="A257" s="11"/>
      <c r="B257" s="44" t="s">
        <v>544</v>
      </c>
      <c r="C257" s="6" t="s">
        <v>35</v>
      </c>
      <c r="D257" s="6" t="s">
        <v>36</v>
      </c>
      <c r="E257" s="7" t="s">
        <v>37</v>
      </c>
      <c r="F257" s="7" t="s">
        <v>38</v>
      </c>
      <c r="G257" s="8" t="str">
        <f t="shared" si="5"/>
        <v>vobc_17.14.1_3.3.2.1.7_256</v>
      </c>
      <c r="H257" s="9" t="s">
        <v>534</v>
      </c>
      <c r="I257" s="8" t="s">
        <v>40</v>
      </c>
      <c r="J257" s="21" t="s">
        <v>341</v>
      </c>
      <c r="K257" s="22" t="s">
        <v>545</v>
      </c>
      <c r="L257" s="6" t="s">
        <v>43</v>
      </c>
      <c r="M257" s="23">
        <v>45842</v>
      </c>
      <c r="N257" s="7" t="s">
        <v>44</v>
      </c>
      <c r="O257" s="8"/>
    </row>
    <row r="258" ht="94.5" spans="1:15">
      <c r="A258" s="11"/>
      <c r="B258" s="44"/>
      <c r="C258" s="6" t="s">
        <v>35</v>
      </c>
      <c r="D258" s="6" t="s">
        <v>36</v>
      </c>
      <c r="E258" s="7" t="s">
        <v>37</v>
      </c>
      <c r="F258" s="7" t="s">
        <v>38</v>
      </c>
      <c r="G258" s="8" t="str">
        <f t="shared" si="5"/>
        <v>vobc_17.14.1_3.3.2.1.7_257</v>
      </c>
      <c r="H258" s="9" t="s">
        <v>546</v>
      </c>
      <c r="I258" s="8" t="s">
        <v>40</v>
      </c>
      <c r="J258" s="21" t="s">
        <v>344</v>
      </c>
      <c r="K258" s="22" t="s">
        <v>547</v>
      </c>
      <c r="L258" s="6" t="s">
        <v>43</v>
      </c>
      <c r="M258" s="23">
        <v>45842</v>
      </c>
      <c r="N258" s="7" t="s">
        <v>44</v>
      </c>
      <c r="O258" s="8"/>
    </row>
    <row r="259" ht="94.5" spans="1:15">
      <c r="A259" s="11"/>
      <c r="B259" s="44"/>
      <c r="C259" s="6" t="s">
        <v>35</v>
      </c>
      <c r="D259" s="6" t="s">
        <v>36</v>
      </c>
      <c r="E259" s="7" t="s">
        <v>37</v>
      </c>
      <c r="F259" s="7" t="s">
        <v>38</v>
      </c>
      <c r="G259" s="8" t="str">
        <f t="shared" si="5"/>
        <v>vobc_17.14.1_3.3.2.1.7_258</v>
      </c>
      <c r="H259" s="9" t="s">
        <v>548</v>
      </c>
      <c r="I259" s="8" t="s">
        <v>40</v>
      </c>
      <c r="J259" s="21" t="s">
        <v>347</v>
      </c>
      <c r="K259" s="22" t="s">
        <v>549</v>
      </c>
      <c r="L259" s="6" t="s">
        <v>43</v>
      </c>
      <c r="M259" s="23">
        <v>45842</v>
      </c>
      <c r="N259" s="7" t="s">
        <v>44</v>
      </c>
      <c r="O259" s="8"/>
    </row>
    <row r="260" ht="94.5" spans="1:15">
      <c r="A260" s="11"/>
      <c r="B260" s="44"/>
      <c r="C260" s="6" t="s">
        <v>35</v>
      </c>
      <c r="D260" s="6" t="s">
        <v>36</v>
      </c>
      <c r="E260" s="7" t="s">
        <v>37</v>
      </c>
      <c r="F260" s="7" t="s">
        <v>38</v>
      </c>
      <c r="G260" s="8" t="str">
        <f t="shared" si="5"/>
        <v>vobc_17.14.1_3.3.2.1.7_259</v>
      </c>
      <c r="H260" s="9" t="s">
        <v>550</v>
      </c>
      <c r="I260" s="8" t="s">
        <v>40</v>
      </c>
      <c r="J260" s="21" t="s">
        <v>350</v>
      </c>
      <c r="K260" s="22" t="s">
        <v>551</v>
      </c>
      <c r="L260" s="6" t="s">
        <v>43</v>
      </c>
      <c r="M260" s="23">
        <v>45842</v>
      </c>
      <c r="N260" s="7" t="s">
        <v>44</v>
      </c>
      <c r="O260" s="8"/>
    </row>
    <row r="261" ht="94.5" spans="1:15">
      <c r="A261" s="11"/>
      <c r="B261" s="44"/>
      <c r="C261" s="6" t="s">
        <v>35</v>
      </c>
      <c r="D261" s="6" t="s">
        <v>36</v>
      </c>
      <c r="E261" s="7" t="s">
        <v>37</v>
      </c>
      <c r="F261" s="7" t="s">
        <v>38</v>
      </c>
      <c r="G261" s="8" t="str">
        <f t="shared" si="5"/>
        <v>vobc_17.14.1_3.3.2.1.7_260</v>
      </c>
      <c r="H261" s="9" t="s">
        <v>552</v>
      </c>
      <c r="I261" s="8" t="s">
        <v>40</v>
      </c>
      <c r="J261" s="21" t="s">
        <v>353</v>
      </c>
      <c r="K261" s="22" t="s">
        <v>553</v>
      </c>
      <c r="L261" s="6" t="s">
        <v>43</v>
      </c>
      <c r="M261" s="23">
        <v>45842</v>
      </c>
      <c r="N261" s="7" t="s">
        <v>44</v>
      </c>
      <c r="O261" s="8"/>
    </row>
    <row r="262" ht="28.5" spans="1:15">
      <c r="A262" s="11"/>
      <c r="B262" s="44" t="s">
        <v>554</v>
      </c>
      <c r="C262" s="6" t="s">
        <v>35</v>
      </c>
      <c r="D262" s="6" t="s">
        <v>36</v>
      </c>
      <c r="E262" s="7" t="s">
        <v>37</v>
      </c>
      <c r="F262" s="7" t="s">
        <v>38</v>
      </c>
      <c r="G262" s="8" t="str">
        <f t="shared" si="5"/>
        <v>vobc_17.14.1_3.3.2.1.7_261</v>
      </c>
      <c r="H262" s="9" t="s">
        <v>555</v>
      </c>
      <c r="I262" s="8" t="s">
        <v>40</v>
      </c>
      <c r="J262" s="21" t="s">
        <v>341</v>
      </c>
      <c r="K262" s="22" t="s">
        <v>556</v>
      </c>
      <c r="L262" s="6" t="s">
        <v>43</v>
      </c>
      <c r="M262" s="23">
        <v>45842</v>
      </c>
      <c r="N262" s="7" t="s">
        <v>44</v>
      </c>
      <c r="O262" s="8"/>
    </row>
    <row r="263" ht="94.5" spans="1:15">
      <c r="A263" s="11"/>
      <c r="B263" s="44"/>
      <c r="C263" s="6" t="s">
        <v>35</v>
      </c>
      <c r="D263" s="6" t="s">
        <v>36</v>
      </c>
      <c r="E263" s="7" t="s">
        <v>37</v>
      </c>
      <c r="F263" s="7" t="s">
        <v>38</v>
      </c>
      <c r="G263" s="8" t="str">
        <f t="shared" si="5"/>
        <v>vobc_17.14.1_3.3.2.1.7_262</v>
      </c>
      <c r="H263" s="9" t="s">
        <v>557</v>
      </c>
      <c r="I263" s="8" t="s">
        <v>40</v>
      </c>
      <c r="J263" s="21" t="s">
        <v>344</v>
      </c>
      <c r="K263" s="22" t="s">
        <v>558</v>
      </c>
      <c r="L263" s="6" t="s">
        <v>43</v>
      </c>
      <c r="M263" s="23">
        <v>45842</v>
      </c>
      <c r="N263" s="7" t="s">
        <v>44</v>
      </c>
      <c r="O263" s="8"/>
    </row>
    <row r="264" ht="94.5" spans="1:15">
      <c r="A264" s="11"/>
      <c r="B264" s="44"/>
      <c r="C264" s="6" t="s">
        <v>35</v>
      </c>
      <c r="D264" s="6" t="s">
        <v>36</v>
      </c>
      <c r="E264" s="7" t="s">
        <v>37</v>
      </c>
      <c r="F264" s="7" t="s">
        <v>38</v>
      </c>
      <c r="G264" s="8" t="str">
        <f t="shared" si="5"/>
        <v>vobc_17.14.1_3.3.2.1.7_263</v>
      </c>
      <c r="H264" s="9" t="s">
        <v>559</v>
      </c>
      <c r="I264" s="8" t="s">
        <v>40</v>
      </c>
      <c r="J264" s="21" t="s">
        <v>347</v>
      </c>
      <c r="K264" s="22" t="s">
        <v>560</v>
      </c>
      <c r="L264" s="6" t="s">
        <v>43</v>
      </c>
      <c r="M264" s="23">
        <v>45842</v>
      </c>
      <c r="N264" s="7" t="s">
        <v>44</v>
      </c>
      <c r="O264" s="8"/>
    </row>
    <row r="265" ht="94.5" spans="1:15">
      <c r="A265" s="11"/>
      <c r="B265" s="44"/>
      <c r="C265" s="6" t="s">
        <v>35</v>
      </c>
      <c r="D265" s="6" t="s">
        <v>36</v>
      </c>
      <c r="E265" s="7" t="s">
        <v>37</v>
      </c>
      <c r="F265" s="7" t="s">
        <v>38</v>
      </c>
      <c r="G265" s="8" t="str">
        <f t="shared" si="5"/>
        <v>vobc_17.14.1_3.3.2.1.7_264</v>
      </c>
      <c r="H265" s="9" t="s">
        <v>561</v>
      </c>
      <c r="I265" s="8" t="s">
        <v>40</v>
      </c>
      <c r="J265" s="21" t="s">
        <v>350</v>
      </c>
      <c r="K265" s="22" t="s">
        <v>562</v>
      </c>
      <c r="L265" s="6" t="s">
        <v>43</v>
      </c>
      <c r="M265" s="23">
        <v>45842</v>
      </c>
      <c r="N265" s="7" t="s">
        <v>44</v>
      </c>
      <c r="O265" s="8"/>
    </row>
    <row r="266" ht="94.5" spans="1:15">
      <c r="A266" s="11"/>
      <c r="B266" s="44"/>
      <c r="C266" s="6" t="s">
        <v>35</v>
      </c>
      <c r="D266" s="6" t="s">
        <v>36</v>
      </c>
      <c r="E266" s="7" t="s">
        <v>37</v>
      </c>
      <c r="F266" s="7" t="s">
        <v>38</v>
      </c>
      <c r="G266" s="8" t="str">
        <f t="shared" si="5"/>
        <v>vobc_17.14.1_3.3.2.1.7_265</v>
      </c>
      <c r="H266" s="9" t="s">
        <v>563</v>
      </c>
      <c r="I266" s="8" t="s">
        <v>40</v>
      </c>
      <c r="J266" s="21" t="s">
        <v>353</v>
      </c>
      <c r="K266" s="22" t="s">
        <v>564</v>
      </c>
      <c r="L266" s="6" t="s">
        <v>43</v>
      </c>
      <c r="M266" s="23">
        <v>45842</v>
      </c>
      <c r="N266" s="7" t="s">
        <v>44</v>
      </c>
      <c r="O266" s="8"/>
    </row>
    <row r="267" ht="28.5" spans="1:15">
      <c r="A267" s="11"/>
      <c r="B267" s="44" t="s">
        <v>565</v>
      </c>
      <c r="C267" s="6" t="s">
        <v>35</v>
      </c>
      <c r="D267" s="6" t="s">
        <v>36</v>
      </c>
      <c r="E267" s="7" t="s">
        <v>37</v>
      </c>
      <c r="F267" s="7" t="s">
        <v>38</v>
      </c>
      <c r="G267" s="8" t="str">
        <f t="shared" si="5"/>
        <v>vobc_17.14.1_3.3.2.1.7_266</v>
      </c>
      <c r="H267" s="9" t="s">
        <v>555</v>
      </c>
      <c r="I267" s="8" t="s">
        <v>40</v>
      </c>
      <c r="J267" s="21" t="s">
        <v>341</v>
      </c>
      <c r="K267" s="22" t="s">
        <v>566</v>
      </c>
      <c r="L267" s="6" t="s">
        <v>43</v>
      </c>
      <c r="M267" s="23">
        <v>45842</v>
      </c>
      <c r="N267" s="7" t="s">
        <v>44</v>
      </c>
      <c r="O267" s="8"/>
    </row>
    <row r="268" ht="94.5" spans="1:15">
      <c r="A268" s="11"/>
      <c r="B268" s="44"/>
      <c r="C268" s="6" t="s">
        <v>35</v>
      </c>
      <c r="D268" s="6" t="s">
        <v>36</v>
      </c>
      <c r="E268" s="7" t="s">
        <v>37</v>
      </c>
      <c r="F268" s="7" t="s">
        <v>38</v>
      </c>
      <c r="G268" s="8" t="str">
        <f t="shared" si="5"/>
        <v>vobc_17.14.1_3.3.2.1.7_267</v>
      </c>
      <c r="H268" s="9" t="s">
        <v>567</v>
      </c>
      <c r="I268" s="8" t="s">
        <v>40</v>
      </c>
      <c r="J268" s="21" t="s">
        <v>344</v>
      </c>
      <c r="K268" s="22" t="s">
        <v>568</v>
      </c>
      <c r="L268" s="6" t="s">
        <v>43</v>
      </c>
      <c r="M268" s="23">
        <v>45842</v>
      </c>
      <c r="N268" s="7" t="s">
        <v>44</v>
      </c>
      <c r="O268" s="8"/>
    </row>
    <row r="269" ht="94.5" spans="1:15">
      <c r="A269" s="11"/>
      <c r="B269" s="44"/>
      <c r="C269" s="6" t="s">
        <v>35</v>
      </c>
      <c r="D269" s="6" t="s">
        <v>36</v>
      </c>
      <c r="E269" s="7" t="s">
        <v>37</v>
      </c>
      <c r="F269" s="7" t="s">
        <v>38</v>
      </c>
      <c r="G269" s="8" t="str">
        <f t="shared" si="5"/>
        <v>vobc_17.14.1_3.3.2.1.7_268</v>
      </c>
      <c r="H269" s="9" t="s">
        <v>569</v>
      </c>
      <c r="I269" s="8" t="s">
        <v>40</v>
      </c>
      <c r="J269" s="21" t="s">
        <v>347</v>
      </c>
      <c r="K269" s="22" t="s">
        <v>570</v>
      </c>
      <c r="L269" s="6" t="s">
        <v>43</v>
      </c>
      <c r="M269" s="23">
        <v>45842</v>
      </c>
      <c r="N269" s="7" t="s">
        <v>44</v>
      </c>
      <c r="O269" s="8"/>
    </row>
    <row r="270" ht="94.5" spans="1:15">
      <c r="A270" s="11"/>
      <c r="B270" s="44"/>
      <c r="C270" s="6" t="s">
        <v>35</v>
      </c>
      <c r="D270" s="6" t="s">
        <v>36</v>
      </c>
      <c r="E270" s="7" t="s">
        <v>37</v>
      </c>
      <c r="F270" s="7" t="s">
        <v>38</v>
      </c>
      <c r="G270" s="8" t="str">
        <f t="shared" si="5"/>
        <v>vobc_17.14.1_3.3.2.1.7_269</v>
      </c>
      <c r="H270" s="9" t="s">
        <v>571</v>
      </c>
      <c r="I270" s="8" t="s">
        <v>40</v>
      </c>
      <c r="J270" s="21" t="s">
        <v>350</v>
      </c>
      <c r="K270" s="22" t="s">
        <v>572</v>
      </c>
      <c r="L270" s="6" t="s">
        <v>43</v>
      </c>
      <c r="M270" s="23">
        <v>45842</v>
      </c>
      <c r="N270" s="7" t="s">
        <v>44</v>
      </c>
      <c r="O270" s="8"/>
    </row>
    <row r="271" ht="94.5" spans="1:15">
      <c r="A271" s="11"/>
      <c r="B271" s="44"/>
      <c r="C271" s="6" t="s">
        <v>35</v>
      </c>
      <c r="D271" s="6" t="s">
        <v>36</v>
      </c>
      <c r="E271" s="7" t="s">
        <v>37</v>
      </c>
      <c r="F271" s="7" t="s">
        <v>38</v>
      </c>
      <c r="G271" s="8" t="str">
        <f t="shared" si="5"/>
        <v>vobc_17.14.1_3.3.2.1.7_270</v>
      </c>
      <c r="H271" s="9" t="s">
        <v>573</v>
      </c>
      <c r="I271" s="8" t="s">
        <v>40</v>
      </c>
      <c r="J271" s="21" t="s">
        <v>353</v>
      </c>
      <c r="K271" s="22" t="s">
        <v>574</v>
      </c>
      <c r="L271" s="6" t="s">
        <v>43</v>
      </c>
      <c r="M271" s="23">
        <v>45842</v>
      </c>
      <c r="N271" s="7" t="s">
        <v>44</v>
      </c>
      <c r="O271" s="8"/>
    </row>
    <row r="272" ht="28.5" spans="1:15">
      <c r="A272" s="11"/>
      <c r="B272" s="44" t="s">
        <v>575</v>
      </c>
      <c r="C272" s="6" t="s">
        <v>35</v>
      </c>
      <c r="D272" s="6" t="s">
        <v>36</v>
      </c>
      <c r="E272" s="7" t="s">
        <v>37</v>
      </c>
      <c r="F272" s="7" t="s">
        <v>38</v>
      </c>
      <c r="G272" s="8" t="str">
        <f t="shared" si="5"/>
        <v>vobc_17.14.1_3.3.2.1.7_271</v>
      </c>
      <c r="H272" s="9" t="s">
        <v>576</v>
      </c>
      <c r="I272" s="8" t="s">
        <v>40</v>
      </c>
      <c r="J272" s="21" t="s">
        <v>341</v>
      </c>
      <c r="K272" s="22" t="s">
        <v>577</v>
      </c>
      <c r="L272" s="6" t="s">
        <v>43</v>
      </c>
      <c r="M272" s="23">
        <v>45842</v>
      </c>
      <c r="N272" s="7" t="s">
        <v>44</v>
      </c>
      <c r="O272" s="8"/>
    </row>
    <row r="273" ht="94.5" spans="1:15">
      <c r="A273" s="11"/>
      <c r="B273" s="44"/>
      <c r="C273" s="6" t="s">
        <v>35</v>
      </c>
      <c r="D273" s="6" t="s">
        <v>36</v>
      </c>
      <c r="E273" s="7" t="s">
        <v>37</v>
      </c>
      <c r="F273" s="7" t="s">
        <v>38</v>
      </c>
      <c r="G273" s="8" t="str">
        <f t="shared" si="5"/>
        <v>vobc_17.14.1_3.3.2.1.7_272</v>
      </c>
      <c r="H273" s="9" t="s">
        <v>578</v>
      </c>
      <c r="I273" s="8" t="s">
        <v>40</v>
      </c>
      <c r="J273" s="21" t="s">
        <v>344</v>
      </c>
      <c r="K273" s="22" t="s">
        <v>579</v>
      </c>
      <c r="L273" s="6" t="s">
        <v>43</v>
      </c>
      <c r="M273" s="23">
        <v>45842</v>
      </c>
      <c r="N273" s="7" t="s">
        <v>44</v>
      </c>
      <c r="O273" s="8"/>
    </row>
    <row r="274" ht="94.5" spans="1:15">
      <c r="A274" s="11"/>
      <c r="B274" s="44"/>
      <c r="C274" s="6" t="s">
        <v>35</v>
      </c>
      <c r="D274" s="6" t="s">
        <v>36</v>
      </c>
      <c r="E274" s="7" t="s">
        <v>37</v>
      </c>
      <c r="F274" s="7" t="s">
        <v>38</v>
      </c>
      <c r="G274" s="8" t="str">
        <f t="shared" si="5"/>
        <v>vobc_17.14.1_3.3.2.1.7_273</v>
      </c>
      <c r="H274" s="9" t="s">
        <v>580</v>
      </c>
      <c r="I274" s="8" t="s">
        <v>40</v>
      </c>
      <c r="J274" s="21" t="s">
        <v>347</v>
      </c>
      <c r="K274" s="22" t="s">
        <v>581</v>
      </c>
      <c r="L274" s="6" t="s">
        <v>43</v>
      </c>
      <c r="M274" s="23">
        <v>45842</v>
      </c>
      <c r="N274" s="7" t="s">
        <v>44</v>
      </c>
      <c r="O274" s="8"/>
    </row>
    <row r="275" ht="94.5" spans="1:15">
      <c r="A275" s="11"/>
      <c r="B275" s="44"/>
      <c r="C275" s="6" t="s">
        <v>35</v>
      </c>
      <c r="D275" s="6" t="s">
        <v>36</v>
      </c>
      <c r="E275" s="7" t="s">
        <v>37</v>
      </c>
      <c r="F275" s="7" t="s">
        <v>38</v>
      </c>
      <c r="G275" s="8" t="str">
        <f t="shared" si="5"/>
        <v>vobc_17.14.1_3.3.2.1.7_274</v>
      </c>
      <c r="H275" s="9" t="s">
        <v>582</v>
      </c>
      <c r="I275" s="8" t="s">
        <v>40</v>
      </c>
      <c r="J275" s="21" t="s">
        <v>350</v>
      </c>
      <c r="K275" s="22" t="s">
        <v>583</v>
      </c>
      <c r="L275" s="6" t="s">
        <v>43</v>
      </c>
      <c r="M275" s="23">
        <v>45842</v>
      </c>
      <c r="N275" s="7" t="s">
        <v>44</v>
      </c>
      <c r="O275" s="8"/>
    </row>
    <row r="276" ht="94.5" spans="1:15">
      <c r="A276" s="11"/>
      <c r="B276" s="44"/>
      <c r="C276" s="6" t="s">
        <v>35</v>
      </c>
      <c r="D276" s="6" t="s">
        <v>36</v>
      </c>
      <c r="E276" s="7" t="s">
        <v>37</v>
      </c>
      <c r="F276" s="7" t="s">
        <v>38</v>
      </c>
      <c r="G276" s="8" t="str">
        <f t="shared" si="5"/>
        <v>vobc_17.14.1_3.3.2.1.7_275</v>
      </c>
      <c r="H276" s="9" t="s">
        <v>584</v>
      </c>
      <c r="I276" s="8" t="s">
        <v>40</v>
      </c>
      <c r="J276" s="21" t="s">
        <v>353</v>
      </c>
      <c r="K276" s="22" t="s">
        <v>585</v>
      </c>
      <c r="L276" s="6" t="s">
        <v>43</v>
      </c>
      <c r="M276" s="23">
        <v>45842</v>
      </c>
      <c r="N276" s="7" t="s">
        <v>44</v>
      </c>
      <c r="O276" s="8"/>
    </row>
    <row r="277" ht="28.5" spans="1:15">
      <c r="A277" s="11"/>
      <c r="B277" s="44" t="s">
        <v>586</v>
      </c>
      <c r="C277" s="6" t="s">
        <v>35</v>
      </c>
      <c r="D277" s="6" t="s">
        <v>36</v>
      </c>
      <c r="E277" s="7" t="s">
        <v>37</v>
      </c>
      <c r="F277" s="7" t="s">
        <v>38</v>
      </c>
      <c r="G277" s="8" t="str">
        <f t="shared" si="5"/>
        <v>vobc_17.14.1_3.3.2.1.7_276</v>
      </c>
      <c r="H277" s="9" t="s">
        <v>576</v>
      </c>
      <c r="I277" s="8" t="s">
        <v>40</v>
      </c>
      <c r="J277" s="21" t="s">
        <v>341</v>
      </c>
      <c r="K277" s="22" t="s">
        <v>587</v>
      </c>
      <c r="L277" s="6" t="s">
        <v>43</v>
      </c>
      <c r="M277" s="23">
        <v>45842</v>
      </c>
      <c r="N277" s="7" t="s">
        <v>44</v>
      </c>
      <c r="O277" s="8"/>
    </row>
    <row r="278" ht="94.5" spans="1:15">
      <c r="A278" s="11"/>
      <c r="B278" s="44"/>
      <c r="C278" s="6" t="s">
        <v>35</v>
      </c>
      <c r="D278" s="6" t="s">
        <v>36</v>
      </c>
      <c r="E278" s="7" t="s">
        <v>37</v>
      </c>
      <c r="F278" s="7" t="s">
        <v>38</v>
      </c>
      <c r="G278" s="8" t="str">
        <f t="shared" si="5"/>
        <v>vobc_17.14.1_3.3.2.1.7_277</v>
      </c>
      <c r="H278" s="9" t="s">
        <v>588</v>
      </c>
      <c r="I278" s="8" t="s">
        <v>40</v>
      </c>
      <c r="J278" s="21" t="s">
        <v>344</v>
      </c>
      <c r="K278" s="22" t="s">
        <v>589</v>
      </c>
      <c r="L278" s="6" t="s">
        <v>43</v>
      </c>
      <c r="M278" s="23">
        <v>45842</v>
      </c>
      <c r="N278" s="7" t="s">
        <v>44</v>
      </c>
      <c r="O278" s="8"/>
    </row>
    <row r="279" ht="94.5" spans="1:15">
      <c r="A279" s="11"/>
      <c r="B279" s="44"/>
      <c r="C279" s="6" t="s">
        <v>35</v>
      </c>
      <c r="D279" s="6" t="s">
        <v>36</v>
      </c>
      <c r="E279" s="7" t="s">
        <v>37</v>
      </c>
      <c r="F279" s="7" t="s">
        <v>38</v>
      </c>
      <c r="G279" s="8" t="str">
        <f t="shared" si="5"/>
        <v>vobc_17.14.1_3.3.2.1.7_278</v>
      </c>
      <c r="H279" s="9" t="s">
        <v>590</v>
      </c>
      <c r="I279" s="8" t="s">
        <v>40</v>
      </c>
      <c r="J279" s="21" t="s">
        <v>347</v>
      </c>
      <c r="K279" s="22" t="s">
        <v>591</v>
      </c>
      <c r="L279" s="6" t="s">
        <v>43</v>
      </c>
      <c r="M279" s="23">
        <v>45842</v>
      </c>
      <c r="N279" s="7" t="s">
        <v>44</v>
      </c>
      <c r="O279" s="8"/>
    </row>
    <row r="280" ht="94.5" spans="1:15">
      <c r="A280" s="11"/>
      <c r="B280" s="44"/>
      <c r="C280" s="6" t="s">
        <v>35</v>
      </c>
      <c r="D280" s="6" t="s">
        <v>36</v>
      </c>
      <c r="E280" s="7" t="s">
        <v>37</v>
      </c>
      <c r="F280" s="7" t="s">
        <v>38</v>
      </c>
      <c r="G280" s="8" t="str">
        <f t="shared" si="5"/>
        <v>vobc_17.14.1_3.3.2.1.7_279</v>
      </c>
      <c r="H280" s="9" t="s">
        <v>592</v>
      </c>
      <c r="I280" s="8" t="s">
        <v>40</v>
      </c>
      <c r="J280" s="21" t="s">
        <v>350</v>
      </c>
      <c r="K280" s="22" t="s">
        <v>593</v>
      </c>
      <c r="L280" s="6" t="s">
        <v>43</v>
      </c>
      <c r="M280" s="23">
        <v>45842</v>
      </c>
      <c r="N280" s="7" t="s">
        <v>44</v>
      </c>
      <c r="O280" s="8"/>
    </row>
    <row r="281" ht="94.5" spans="1:15">
      <c r="A281" s="11"/>
      <c r="B281" s="44"/>
      <c r="C281" s="6" t="s">
        <v>35</v>
      </c>
      <c r="D281" s="6" t="s">
        <v>36</v>
      </c>
      <c r="E281" s="7" t="s">
        <v>37</v>
      </c>
      <c r="F281" s="7" t="s">
        <v>38</v>
      </c>
      <c r="G281" s="8" t="str">
        <f t="shared" si="5"/>
        <v>vobc_17.14.1_3.3.2.1.7_280</v>
      </c>
      <c r="H281" s="9" t="s">
        <v>594</v>
      </c>
      <c r="I281" s="8" t="s">
        <v>40</v>
      </c>
      <c r="J281" s="21" t="s">
        <v>353</v>
      </c>
      <c r="K281" s="22" t="s">
        <v>595</v>
      </c>
      <c r="L281" s="6" t="s">
        <v>43</v>
      </c>
      <c r="M281" s="23">
        <v>45842</v>
      </c>
      <c r="N281" s="7" t="s">
        <v>44</v>
      </c>
      <c r="O281" s="8"/>
    </row>
    <row r="282" ht="28.5" spans="1:15">
      <c r="A282" s="11"/>
      <c r="B282" s="44"/>
      <c r="C282" s="6" t="s">
        <v>35</v>
      </c>
      <c r="D282" s="6" t="s">
        <v>36</v>
      </c>
      <c r="E282" s="7" t="s">
        <v>37</v>
      </c>
      <c r="F282" s="7" t="s">
        <v>38</v>
      </c>
      <c r="G282" s="8" t="str">
        <f t="shared" si="5"/>
        <v>vobc_17.14.1_3.3.2.1.7_281</v>
      </c>
      <c r="H282" s="9" t="s">
        <v>596</v>
      </c>
      <c r="I282" s="8" t="s">
        <v>40</v>
      </c>
      <c r="J282" s="21" t="s">
        <v>597</v>
      </c>
      <c r="K282" s="22" t="s">
        <v>598</v>
      </c>
      <c r="L282" s="6" t="s">
        <v>43</v>
      </c>
      <c r="M282" s="23">
        <v>45842</v>
      </c>
      <c r="N282" s="7" t="s">
        <v>44</v>
      </c>
      <c r="O282" s="8"/>
    </row>
    <row r="283" ht="28.5" spans="1:15">
      <c r="A283" s="11"/>
      <c r="B283" s="44"/>
      <c r="C283" s="6" t="s">
        <v>35</v>
      </c>
      <c r="D283" s="6" t="s">
        <v>36</v>
      </c>
      <c r="E283" s="7" t="s">
        <v>37</v>
      </c>
      <c r="F283" s="7" t="s">
        <v>38</v>
      </c>
      <c r="G283" s="8" t="str">
        <f t="shared" si="5"/>
        <v>vobc_17.14.1_3.3.2.1.7_282</v>
      </c>
      <c r="H283" s="9" t="s">
        <v>599</v>
      </c>
      <c r="I283" s="8" t="s">
        <v>40</v>
      </c>
      <c r="J283" s="21" t="s">
        <v>597</v>
      </c>
      <c r="K283" s="22" t="s">
        <v>600</v>
      </c>
      <c r="L283" s="6" t="s">
        <v>43</v>
      </c>
      <c r="M283" s="23">
        <v>45842</v>
      </c>
      <c r="N283" s="7" t="s">
        <v>44</v>
      </c>
      <c r="O283" s="8"/>
    </row>
    <row r="284" ht="28.5" spans="1:15">
      <c r="A284" s="11"/>
      <c r="B284" s="44"/>
      <c r="C284" s="6" t="s">
        <v>35</v>
      </c>
      <c r="D284" s="6" t="s">
        <v>36</v>
      </c>
      <c r="E284" s="7" t="s">
        <v>37</v>
      </c>
      <c r="F284" s="7" t="s">
        <v>38</v>
      </c>
      <c r="G284" s="8" t="str">
        <f t="shared" si="5"/>
        <v>vobc_17.14.1_3.3.2.1.7_283</v>
      </c>
      <c r="H284" s="9" t="s">
        <v>601</v>
      </c>
      <c r="I284" s="8" t="s">
        <v>40</v>
      </c>
      <c r="J284" s="21" t="s">
        <v>597</v>
      </c>
      <c r="K284" s="22" t="s">
        <v>602</v>
      </c>
      <c r="L284" s="6" t="s">
        <v>43</v>
      </c>
      <c r="M284" s="23">
        <v>45842</v>
      </c>
      <c r="N284" s="7" t="s">
        <v>44</v>
      </c>
      <c r="O284" s="8"/>
    </row>
    <row r="285" ht="28.5" spans="1:15">
      <c r="A285" s="11"/>
      <c r="B285" s="44"/>
      <c r="C285" s="6" t="s">
        <v>35</v>
      </c>
      <c r="D285" s="6" t="s">
        <v>36</v>
      </c>
      <c r="E285" s="7" t="s">
        <v>37</v>
      </c>
      <c r="F285" s="7" t="s">
        <v>38</v>
      </c>
      <c r="G285" s="8" t="str">
        <f t="shared" si="5"/>
        <v>vobc_17.14.1_3.3.2.1.7_284</v>
      </c>
      <c r="H285" s="9" t="s">
        <v>603</v>
      </c>
      <c r="I285" s="8" t="s">
        <v>40</v>
      </c>
      <c r="J285" s="21" t="s">
        <v>597</v>
      </c>
      <c r="K285" s="22" t="s">
        <v>604</v>
      </c>
      <c r="L285" s="6" t="s">
        <v>43</v>
      </c>
      <c r="M285" s="23">
        <v>45842</v>
      </c>
      <c r="N285" s="7" t="s">
        <v>44</v>
      </c>
      <c r="O285" s="8"/>
    </row>
    <row r="286" ht="28.5" spans="1:15">
      <c r="A286" s="11"/>
      <c r="B286" s="44"/>
      <c r="C286" s="6" t="s">
        <v>35</v>
      </c>
      <c r="D286" s="6" t="s">
        <v>36</v>
      </c>
      <c r="E286" s="7" t="s">
        <v>37</v>
      </c>
      <c r="F286" s="7" t="s">
        <v>38</v>
      </c>
      <c r="G286" s="8" t="str">
        <f t="shared" si="5"/>
        <v>vobc_17.14.1_3.3.2.1.7_285</v>
      </c>
      <c r="H286" s="9" t="s">
        <v>605</v>
      </c>
      <c r="I286" s="8" t="s">
        <v>40</v>
      </c>
      <c r="J286" s="21" t="s">
        <v>597</v>
      </c>
      <c r="K286" s="22" t="s">
        <v>606</v>
      </c>
      <c r="L286" s="6" t="s">
        <v>43</v>
      </c>
      <c r="M286" s="23">
        <v>45842</v>
      </c>
      <c r="N286" s="7" t="s">
        <v>44</v>
      </c>
      <c r="O286" s="8"/>
    </row>
    <row r="287" ht="28.5" spans="1:15">
      <c r="A287" s="11"/>
      <c r="B287" s="44"/>
      <c r="C287" s="6" t="s">
        <v>35</v>
      </c>
      <c r="D287" s="6" t="s">
        <v>36</v>
      </c>
      <c r="E287" s="7" t="s">
        <v>37</v>
      </c>
      <c r="F287" s="7" t="s">
        <v>38</v>
      </c>
      <c r="G287" s="8" t="str">
        <f t="shared" si="5"/>
        <v>vobc_17.14.1_3.3.2.1.7_286</v>
      </c>
      <c r="H287" s="9" t="s">
        <v>607</v>
      </c>
      <c r="I287" s="8" t="s">
        <v>40</v>
      </c>
      <c r="J287" s="21" t="s">
        <v>597</v>
      </c>
      <c r="K287" s="22" t="s">
        <v>608</v>
      </c>
      <c r="L287" s="6" t="s">
        <v>43</v>
      </c>
      <c r="M287" s="23">
        <v>45842</v>
      </c>
      <c r="N287" s="7" t="s">
        <v>44</v>
      </c>
      <c r="O287" s="8"/>
    </row>
    <row r="288" ht="28.5" spans="1:15">
      <c r="A288" s="11"/>
      <c r="B288" s="44"/>
      <c r="C288" s="6" t="s">
        <v>35</v>
      </c>
      <c r="D288" s="6" t="s">
        <v>36</v>
      </c>
      <c r="E288" s="7" t="s">
        <v>37</v>
      </c>
      <c r="F288" s="7" t="s">
        <v>38</v>
      </c>
      <c r="G288" s="8" t="str">
        <f t="shared" si="5"/>
        <v>vobc_17.14.1_3.3.2.1.7_287</v>
      </c>
      <c r="H288" s="9" t="s">
        <v>609</v>
      </c>
      <c r="I288" s="8" t="s">
        <v>40</v>
      </c>
      <c r="J288" s="21" t="s">
        <v>597</v>
      </c>
      <c r="K288" s="22" t="s">
        <v>610</v>
      </c>
      <c r="L288" s="6" t="s">
        <v>43</v>
      </c>
      <c r="M288" s="23">
        <v>45842</v>
      </c>
      <c r="N288" s="7" t="s">
        <v>44</v>
      </c>
      <c r="O288" s="8"/>
    </row>
    <row r="289" ht="28.5" spans="1:15">
      <c r="A289" s="11"/>
      <c r="B289" s="44"/>
      <c r="C289" s="6" t="s">
        <v>35</v>
      </c>
      <c r="D289" s="6" t="s">
        <v>36</v>
      </c>
      <c r="E289" s="7" t="s">
        <v>37</v>
      </c>
      <c r="F289" s="7" t="s">
        <v>38</v>
      </c>
      <c r="G289" s="8" t="str">
        <f t="shared" si="5"/>
        <v>vobc_17.14.1_3.3.2.1.7_288</v>
      </c>
      <c r="H289" s="9" t="s">
        <v>611</v>
      </c>
      <c r="I289" s="8" t="s">
        <v>40</v>
      </c>
      <c r="J289" s="21" t="s">
        <v>597</v>
      </c>
      <c r="K289" s="22" t="s">
        <v>612</v>
      </c>
      <c r="L289" s="6" t="s">
        <v>43</v>
      </c>
      <c r="M289" s="23">
        <v>45842</v>
      </c>
      <c r="N289" s="7" t="s">
        <v>44</v>
      </c>
      <c r="O289" s="8"/>
    </row>
    <row r="290" ht="28.5" spans="1:15">
      <c r="A290" s="11"/>
      <c r="B290" s="44"/>
      <c r="C290" s="6" t="s">
        <v>35</v>
      </c>
      <c r="D290" s="6" t="s">
        <v>36</v>
      </c>
      <c r="E290" s="7" t="s">
        <v>37</v>
      </c>
      <c r="F290" s="7" t="s">
        <v>38</v>
      </c>
      <c r="G290" s="8" t="str">
        <f t="shared" ref="G290:G301" si="6">"vobc_17.14.1_3.3.2.1.7_"&amp;ROW()-1</f>
        <v>vobc_17.14.1_3.3.2.1.7_289</v>
      </c>
      <c r="H290" s="9" t="s">
        <v>613</v>
      </c>
      <c r="I290" s="8" t="s">
        <v>40</v>
      </c>
      <c r="J290" s="21" t="s">
        <v>597</v>
      </c>
      <c r="K290" s="22" t="s">
        <v>614</v>
      </c>
      <c r="L290" s="6" t="s">
        <v>43</v>
      </c>
      <c r="M290" s="23">
        <v>45842</v>
      </c>
      <c r="N290" s="7" t="s">
        <v>44</v>
      </c>
      <c r="O290" s="8"/>
    </row>
    <row r="291" ht="28.5" spans="1:15">
      <c r="A291" s="11"/>
      <c r="B291" s="44"/>
      <c r="C291" s="6" t="s">
        <v>35</v>
      </c>
      <c r="D291" s="6" t="s">
        <v>36</v>
      </c>
      <c r="E291" s="7" t="s">
        <v>37</v>
      </c>
      <c r="F291" s="7" t="s">
        <v>38</v>
      </c>
      <c r="G291" s="8" t="str">
        <f t="shared" si="6"/>
        <v>vobc_17.14.1_3.3.2.1.7_290</v>
      </c>
      <c r="H291" s="9" t="s">
        <v>615</v>
      </c>
      <c r="I291" s="8" t="s">
        <v>40</v>
      </c>
      <c r="J291" s="21" t="s">
        <v>597</v>
      </c>
      <c r="K291" s="22" t="s">
        <v>616</v>
      </c>
      <c r="L291" s="6" t="s">
        <v>43</v>
      </c>
      <c r="M291" s="23">
        <v>45842</v>
      </c>
      <c r="N291" s="7" t="s">
        <v>44</v>
      </c>
      <c r="O291" s="8"/>
    </row>
    <row r="292" ht="28.5" spans="1:15">
      <c r="A292" s="11"/>
      <c r="B292" s="44"/>
      <c r="C292" s="6" t="s">
        <v>35</v>
      </c>
      <c r="D292" s="6" t="s">
        <v>36</v>
      </c>
      <c r="E292" s="7" t="s">
        <v>37</v>
      </c>
      <c r="F292" s="7" t="s">
        <v>38</v>
      </c>
      <c r="G292" s="8" t="str">
        <f t="shared" si="6"/>
        <v>vobc_17.14.1_3.3.2.1.7_291</v>
      </c>
      <c r="H292" s="9" t="s">
        <v>617</v>
      </c>
      <c r="I292" s="8" t="s">
        <v>40</v>
      </c>
      <c r="J292" s="21" t="s">
        <v>597</v>
      </c>
      <c r="K292" s="22" t="s">
        <v>618</v>
      </c>
      <c r="L292" s="6" t="s">
        <v>43</v>
      </c>
      <c r="M292" s="23">
        <v>45842</v>
      </c>
      <c r="N292" s="7" t="s">
        <v>44</v>
      </c>
      <c r="O292" s="8"/>
    </row>
    <row r="293" ht="28.5" spans="1:15">
      <c r="A293" s="11"/>
      <c r="B293" s="44"/>
      <c r="C293" s="6" t="s">
        <v>35</v>
      </c>
      <c r="D293" s="6" t="s">
        <v>36</v>
      </c>
      <c r="E293" s="7" t="s">
        <v>37</v>
      </c>
      <c r="F293" s="7" t="s">
        <v>38</v>
      </c>
      <c r="G293" s="8" t="str">
        <f t="shared" si="6"/>
        <v>vobc_17.14.1_3.3.2.1.7_292</v>
      </c>
      <c r="H293" s="9" t="s">
        <v>619</v>
      </c>
      <c r="I293" s="8" t="s">
        <v>40</v>
      </c>
      <c r="J293" s="21" t="s">
        <v>597</v>
      </c>
      <c r="K293" s="22" t="s">
        <v>620</v>
      </c>
      <c r="L293" s="6" t="s">
        <v>43</v>
      </c>
      <c r="M293" s="23">
        <v>45842</v>
      </c>
      <c r="N293" s="7" t="s">
        <v>44</v>
      </c>
      <c r="O293" s="8"/>
    </row>
    <row r="294" ht="28.5" spans="1:15">
      <c r="A294" s="11"/>
      <c r="B294" s="44"/>
      <c r="C294" s="6" t="s">
        <v>35</v>
      </c>
      <c r="D294" s="6" t="s">
        <v>36</v>
      </c>
      <c r="E294" s="7" t="s">
        <v>37</v>
      </c>
      <c r="F294" s="7" t="s">
        <v>38</v>
      </c>
      <c r="G294" s="8" t="str">
        <f t="shared" si="6"/>
        <v>vobc_17.14.1_3.3.2.1.7_293</v>
      </c>
      <c r="H294" s="9" t="s">
        <v>621</v>
      </c>
      <c r="I294" s="8" t="s">
        <v>40</v>
      </c>
      <c r="J294" s="21" t="s">
        <v>597</v>
      </c>
      <c r="K294" s="22" t="s">
        <v>622</v>
      </c>
      <c r="L294" s="6" t="s">
        <v>43</v>
      </c>
      <c r="M294" s="23">
        <v>45842</v>
      </c>
      <c r="N294" s="7" t="s">
        <v>44</v>
      </c>
      <c r="O294" s="8"/>
    </row>
    <row r="295" ht="28.5" spans="1:15">
      <c r="A295" s="11"/>
      <c r="B295" s="44"/>
      <c r="C295" s="6" t="s">
        <v>35</v>
      </c>
      <c r="D295" s="6" t="s">
        <v>36</v>
      </c>
      <c r="E295" s="7" t="s">
        <v>37</v>
      </c>
      <c r="F295" s="7" t="s">
        <v>38</v>
      </c>
      <c r="G295" s="8" t="str">
        <f t="shared" si="6"/>
        <v>vobc_17.14.1_3.3.2.1.7_294</v>
      </c>
      <c r="H295" s="9" t="s">
        <v>623</v>
      </c>
      <c r="I295" s="8" t="s">
        <v>40</v>
      </c>
      <c r="J295" s="21" t="s">
        <v>597</v>
      </c>
      <c r="K295" s="22" t="s">
        <v>624</v>
      </c>
      <c r="L295" s="6" t="s">
        <v>43</v>
      </c>
      <c r="M295" s="23">
        <v>45842</v>
      </c>
      <c r="N295" s="7" t="s">
        <v>44</v>
      </c>
      <c r="O295" s="8"/>
    </row>
    <row r="296" ht="28.5" spans="1:15">
      <c r="A296" s="11"/>
      <c r="B296" s="44"/>
      <c r="C296" s="6" t="s">
        <v>35</v>
      </c>
      <c r="D296" s="6" t="s">
        <v>36</v>
      </c>
      <c r="E296" s="7" t="s">
        <v>37</v>
      </c>
      <c r="F296" s="7" t="s">
        <v>38</v>
      </c>
      <c r="G296" s="8" t="str">
        <f t="shared" si="6"/>
        <v>vobc_17.14.1_3.3.2.1.7_295</v>
      </c>
      <c r="H296" s="9" t="s">
        <v>625</v>
      </c>
      <c r="I296" s="8" t="s">
        <v>40</v>
      </c>
      <c r="J296" s="21" t="s">
        <v>597</v>
      </c>
      <c r="K296" s="22" t="s">
        <v>626</v>
      </c>
      <c r="L296" s="6" t="s">
        <v>43</v>
      </c>
      <c r="M296" s="23">
        <v>45842</v>
      </c>
      <c r="N296" s="7" t="s">
        <v>44</v>
      </c>
      <c r="O296" s="8"/>
    </row>
    <row r="297" ht="28.5" spans="1:15">
      <c r="A297" s="11"/>
      <c r="B297" s="44"/>
      <c r="C297" s="6" t="s">
        <v>35</v>
      </c>
      <c r="D297" s="6" t="s">
        <v>36</v>
      </c>
      <c r="E297" s="7" t="s">
        <v>37</v>
      </c>
      <c r="F297" s="7" t="s">
        <v>38</v>
      </c>
      <c r="G297" s="8" t="str">
        <f t="shared" si="6"/>
        <v>vobc_17.14.1_3.3.2.1.7_296</v>
      </c>
      <c r="H297" s="9" t="s">
        <v>627</v>
      </c>
      <c r="I297" s="8" t="s">
        <v>40</v>
      </c>
      <c r="J297" s="21" t="s">
        <v>597</v>
      </c>
      <c r="K297" s="22" t="s">
        <v>628</v>
      </c>
      <c r="L297" s="6" t="s">
        <v>43</v>
      </c>
      <c r="M297" s="23">
        <v>45842</v>
      </c>
      <c r="N297" s="7" t="s">
        <v>44</v>
      </c>
      <c r="O297" s="8"/>
    </row>
    <row r="298" ht="28.5" spans="1:15">
      <c r="A298" s="11"/>
      <c r="B298" s="44"/>
      <c r="C298" s="6" t="s">
        <v>35</v>
      </c>
      <c r="D298" s="6" t="s">
        <v>36</v>
      </c>
      <c r="E298" s="7" t="s">
        <v>37</v>
      </c>
      <c r="F298" s="7" t="s">
        <v>38</v>
      </c>
      <c r="G298" s="8" t="str">
        <f t="shared" si="6"/>
        <v>vobc_17.14.1_3.3.2.1.7_297</v>
      </c>
      <c r="H298" s="9" t="s">
        <v>629</v>
      </c>
      <c r="I298" s="8" t="s">
        <v>40</v>
      </c>
      <c r="J298" s="21" t="s">
        <v>597</v>
      </c>
      <c r="K298" s="22" t="s">
        <v>630</v>
      </c>
      <c r="L298" s="6" t="s">
        <v>43</v>
      </c>
      <c r="M298" s="23">
        <v>45842</v>
      </c>
      <c r="N298" s="7" t="s">
        <v>44</v>
      </c>
      <c r="O298" s="8"/>
    </row>
    <row r="299" ht="28.5" spans="1:15">
      <c r="A299" s="11"/>
      <c r="B299" s="44"/>
      <c r="C299" s="6" t="s">
        <v>35</v>
      </c>
      <c r="D299" s="6" t="s">
        <v>36</v>
      </c>
      <c r="E299" s="7" t="s">
        <v>37</v>
      </c>
      <c r="F299" s="7" t="s">
        <v>38</v>
      </c>
      <c r="G299" s="8" t="str">
        <f t="shared" si="6"/>
        <v>vobc_17.14.1_3.3.2.1.7_298</v>
      </c>
      <c r="H299" s="9" t="s">
        <v>631</v>
      </c>
      <c r="I299" s="8" t="s">
        <v>40</v>
      </c>
      <c r="J299" s="21" t="s">
        <v>597</v>
      </c>
      <c r="K299" s="22" t="s">
        <v>632</v>
      </c>
      <c r="L299" s="6" t="s">
        <v>43</v>
      </c>
      <c r="M299" s="23">
        <v>45842</v>
      </c>
      <c r="N299" s="7" t="s">
        <v>44</v>
      </c>
      <c r="O299" s="8"/>
    </row>
    <row r="300" ht="28.5" spans="1:15">
      <c r="A300" s="11"/>
      <c r="B300" s="44"/>
      <c r="C300" s="6" t="s">
        <v>35</v>
      </c>
      <c r="D300" s="6" t="s">
        <v>36</v>
      </c>
      <c r="E300" s="7" t="s">
        <v>37</v>
      </c>
      <c r="F300" s="7" t="s">
        <v>38</v>
      </c>
      <c r="G300" s="8" t="str">
        <f t="shared" si="6"/>
        <v>vobc_17.14.1_3.3.2.1.7_299</v>
      </c>
      <c r="H300" s="9" t="s">
        <v>633</v>
      </c>
      <c r="I300" s="8" t="s">
        <v>40</v>
      </c>
      <c r="J300" s="21" t="s">
        <v>597</v>
      </c>
      <c r="K300" s="22" t="s">
        <v>634</v>
      </c>
      <c r="L300" s="6" t="s">
        <v>43</v>
      </c>
      <c r="M300" s="23">
        <v>45842</v>
      </c>
      <c r="N300" s="7" t="s">
        <v>44</v>
      </c>
      <c r="O300" s="8"/>
    </row>
    <row r="301" ht="28.5" spans="1:15">
      <c r="A301" s="12"/>
      <c r="B301" s="44"/>
      <c r="C301" s="6" t="s">
        <v>35</v>
      </c>
      <c r="D301" s="6" t="s">
        <v>36</v>
      </c>
      <c r="E301" s="7" t="s">
        <v>37</v>
      </c>
      <c r="F301" s="7" t="s">
        <v>38</v>
      </c>
      <c r="G301" s="8" t="str">
        <f t="shared" si="6"/>
        <v>vobc_17.14.1_3.3.2.1.7_300</v>
      </c>
      <c r="H301" s="9" t="s">
        <v>635</v>
      </c>
      <c r="I301" s="8" t="s">
        <v>40</v>
      </c>
      <c r="J301" s="21" t="s">
        <v>597</v>
      </c>
      <c r="K301" s="22" t="s">
        <v>636</v>
      </c>
      <c r="L301" s="6" t="s">
        <v>43</v>
      </c>
      <c r="M301" s="23">
        <v>45842</v>
      </c>
      <c r="N301" s="7" t="s">
        <v>44</v>
      </c>
      <c r="O301" s="8"/>
    </row>
  </sheetData>
  <autoFilter xmlns:etc="http://www.wps.cn/officeDocument/2017/etCustomData" ref="M1:M301" etc:filterBottomFollowUsedRange="0">
    <extLst/>
  </autoFilter>
  <mergeCells count="36">
    <mergeCell ref="A2:A45"/>
    <mergeCell ref="A46:A161"/>
    <mergeCell ref="A162:A301"/>
    <mergeCell ref="B2:B38"/>
    <mergeCell ref="B39:B42"/>
    <mergeCell ref="B43:B45"/>
    <mergeCell ref="B46:B49"/>
    <mergeCell ref="B50:B113"/>
    <mergeCell ref="B114:B155"/>
    <mergeCell ref="B156:B157"/>
    <mergeCell ref="B158:B159"/>
    <mergeCell ref="B160:B161"/>
    <mergeCell ref="B162:B166"/>
    <mergeCell ref="B167:B171"/>
    <mergeCell ref="B172:B176"/>
    <mergeCell ref="B177:B181"/>
    <mergeCell ref="B182:B186"/>
    <mergeCell ref="B187:B191"/>
    <mergeCell ref="B192:B196"/>
    <mergeCell ref="B197:B201"/>
    <mergeCell ref="B202:B206"/>
    <mergeCell ref="B207:B211"/>
    <mergeCell ref="B212:B216"/>
    <mergeCell ref="B217:B221"/>
    <mergeCell ref="B222:B226"/>
    <mergeCell ref="B227:B231"/>
    <mergeCell ref="B232:B236"/>
    <mergeCell ref="B237:B241"/>
    <mergeCell ref="B242:B246"/>
    <mergeCell ref="B247:B251"/>
    <mergeCell ref="B252:B256"/>
    <mergeCell ref="B257:B261"/>
    <mergeCell ref="B262:B266"/>
    <mergeCell ref="B267:B271"/>
    <mergeCell ref="B272:B276"/>
    <mergeCell ref="B277:B281"/>
  </mergeCells>
  <conditionalFormatting sqref="L1">
    <cfRule type="cellIs" dxfId="0" priority="12708" operator="equal">
      <formula>"不通过"</formula>
    </cfRule>
    <cfRule type="cellIs" dxfId="1" priority="12709" operator="equal">
      <formula>"通过"</formula>
    </cfRule>
  </conditionalFormatting>
  <conditionalFormatting sqref="F2">
    <cfRule type="cellIs" dxfId="1" priority="12824" operator="equal">
      <formula>"是"</formula>
    </cfRule>
    <cfRule type="cellIs" dxfId="2" priority="12826" operator="equal">
      <formula>"是"</formula>
    </cfRule>
    <cfRule type="cellIs" dxfId="3" priority="12827" operator="equal">
      <formula>"否"</formula>
    </cfRule>
    <cfRule type="cellIs" dxfId="4" priority="12828" operator="equal">
      <formula>"是"</formula>
    </cfRule>
    <cfRule type="cellIs" dxfId="5" priority="12829" operator="equal">
      <formula>"IVOC"</formula>
    </cfRule>
    <cfRule type="cellIs" dxfId="6" priority="12830" operator="equal">
      <formula>"500/510"</formula>
    </cfRule>
    <cfRule type="cellIs" dxfId="7" priority="12831" operator="equal">
      <formula>"500/510/IVOC"</formula>
    </cfRule>
  </conditionalFormatting>
  <conditionalFormatting sqref="L2">
    <cfRule type="cellIs" dxfId="8" priority="12750" operator="equal">
      <formula>"堵塞"</formula>
    </cfRule>
    <cfRule type="cellIs" dxfId="0" priority="12755" operator="equal">
      <formula>"不通过"</formula>
    </cfRule>
    <cfRule type="cellIs" dxfId="1" priority="12760" operator="equal">
      <formula>"通过"</formula>
    </cfRule>
  </conditionalFormatting>
  <conditionalFormatting sqref="C3">
    <cfRule type="cellIs" dxfId="9" priority="12839" operator="equal">
      <formula>"3级"</formula>
    </cfRule>
    <cfRule type="cellIs" dxfId="2" priority="12840" operator="equal">
      <formula>"2级"</formula>
    </cfRule>
    <cfRule type="cellIs" dxfId="10" priority="12841" operator="equal">
      <formula>"1级"</formula>
    </cfRule>
  </conditionalFormatting>
  <conditionalFormatting sqref="L3">
    <cfRule type="cellIs" dxfId="1" priority="1022" operator="equal">
      <formula>"通过"</formula>
    </cfRule>
    <cfRule type="cellIs" dxfId="0" priority="1021" operator="equal">
      <formula>"不通过"</formula>
    </cfRule>
    <cfRule type="cellIs" dxfId="8" priority="1020" operator="equal">
      <formula>"堵塞"</formula>
    </cfRule>
  </conditionalFormatting>
  <conditionalFormatting sqref="C4">
    <cfRule type="cellIs" dxfId="9" priority="12821" operator="equal">
      <formula>"3级"</formula>
    </cfRule>
    <cfRule type="cellIs" dxfId="2" priority="12822" operator="equal">
      <formula>"2级"</formula>
    </cfRule>
    <cfRule type="cellIs" dxfId="10" priority="12823" operator="equal">
      <formula>"1级"</formula>
    </cfRule>
  </conditionalFormatting>
  <conditionalFormatting sqref="E4">
    <cfRule type="cellIs" dxfId="11" priority="12811" operator="equal">
      <formula>"废弃"</formula>
    </cfRule>
    <cfRule type="cellIs" dxfId="12" priority="12812" operator="equal">
      <formula>"更新"</formula>
    </cfRule>
    <cfRule type="cellIs" dxfId="13" priority="12813" operator="equal">
      <formula>"优化"</formula>
    </cfRule>
    <cfRule type="cellIs" dxfId="2" priority="12814" operator="equal">
      <formula>"新增"</formula>
    </cfRule>
    <cfRule type="cellIs" dxfId="5" priority="12815" operator="equal">
      <formula>"IVOC"</formula>
    </cfRule>
    <cfRule type="cellIs" dxfId="6" priority="12816" operator="equal">
      <formula>"500/510"</formula>
    </cfRule>
    <cfRule type="cellIs" dxfId="7" priority="12817" operator="equal">
      <formula>"500/510/IVOC"</formula>
    </cfRule>
    <cfRule type="cellIs" dxfId="1" priority="12804" operator="equal">
      <formula>"新增"</formula>
    </cfRule>
  </conditionalFormatting>
  <conditionalFormatting sqref="L4">
    <cfRule type="cellIs" dxfId="1" priority="1019" operator="equal">
      <formula>"通过"</formula>
    </cfRule>
    <cfRule type="cellIs" dxfId="0" priority="1018" operator="equal">
      <formula>"不通过"</formula>
    </cfRule>
    <cfRule type="cellIs" dxfId="8" priority="1017" operator="equal">
      <formula>"堵塞"</formula>
    </cfRule>
  </conditionalFormatting>
  <conditionalFormatting sqref="C5">
    <cfRule type="cellIs" dxfId="9" priority="12604" operator="equal">
      <formula>"3级"</formula>
    </cfRule>
    <cfRule type="cellIs" dxfId="2" priority="12654" operator="equal">
      <formula>"2级"</formula>
    </cfRule>
    <cfRule type="cellIs" dxfId="10" priority="12704" operator="equal">
      <formula>"1级"</formula>
    </cfRule>
  </conditionalFormatting>
  <conditionalFormatting sqref="E5">
    <cfRule type="cellIs" dxfId="11" priority="12254" operator="equal">
      <formula>"废弃"</formula>
    </cfRule>
    <cfRule type="cellIs" dxfId="12" priority="12304" operator="equal">
      <formula>"更新"</formula>
    </cfRule>
    <cfRule type="cellIs" dxfId="13" priority="12354" operator="equal">
      <formula>"优化"</formula>
    </cfRule>
    <cfRule type="cellIs" dxfId="2" priority="12404" operator="equal">
      <formula>"新增"</formula>
    </cfRule>
    <cfRule type="cellIs" dxfId="5" priority="12454" operator="equal">
      <formula>"IVOC"</formula>
    </cfRule>
    <cfRule type="cellIs" dxfId="6" priority="12504" operator="equal">
      <formula>"500/510"</formula>
    </cfRule>
    <cfRule type="cellIs" dxfId="7" priority="12554" operator="equal">
      <formula>"500/510/IVOC"</formula>
    </cfRule>
    <cfRule type="cellIs" dxfId="1" priority="11904" operator="equal">
      <formula>"新增"</formula>
    </cfRule>
  </conditionalFormatting>
  <conditionalFormatting sqref="L5">
    <cfRule type="cellIs" dxfId="1" priority="1016" operator="equal">
      <formula>"通过"</formula>
    </cfRule>
    <cfRule type="cellIs" dxfId="0" priority="983" operator="equal">
      <formula>"不通过"</formula>
    </cfRule>
    <cfRule type="cellIs" dxfId="8" priority="950" operator="equal">
      <formula>"堵塞"</formula>
    </cfRule>
  </conditionalFormatting>
  <conditionalFormatting sqref="C6">
    <cfRule type="cellIs" dxfId="9" priority="12603" operator="equal">
      <formula>"3级"</formula>
    </cfRule>
    <cfRule type="cellIs" dxfId="2" priority="12653" operator="equal">
      <formula>"2级"</formula>
    </cfRule>
    <cfRule type="cellIs" dxfId="10" priority="12703" operator="equal">
      <formula>"1级"</formula>
    </cfRule>
  </conditionalFormatting>
  <conditionalFormatting sqref="E6">
    <cfRule type="cellIs" dxfId="11" priority="12253" operator="equal">
      <formula>"废弃"</formula>
    </cfRule>
    <cfRule type="cellIs" dxfId="12" priority="12303" operator="equal">
      <formula>"更新"</formula>
    </cfRule>
    <cfRule type="cellIs" dxfId="13" priority="12353" operator="equal">
      <formula>"优化"</formula>
    </cfRule>
    <cfRule type="cellIs" dxfId="2" priority="12403" operator="equal">
      <formula>"新增"</formula>
    </cfRule>
    <cfRule type="cellIs" dxfId="5" priority="12453" operator="equal">
      <formula>"IVOC"</formula>
    </cfRule>
    <cfRule type="cellIs" dxfId="6" priority="12503" operator="equal">
      <formula>"500/510"</formula>
    </cfRule>
    <cfRule type="cellIs" dxfId="7" priority="12553" operator="equal">
      <formula>"500/510/IVOC"</formula>
    </cfRule>
    <cfRule type="cellIs" dxfId="1" priority="11903" operator="equal">
      <formula>"新增"</formula>
    </cfRule>
  </conditionalFormatting>
  <conditionalFormatting sqref="L6">
    <cfRule type="cellIs" dxfId="1" priority="1015" operator="equal">
      <formula>"通过"</formula>
    </cfRule>
    <cfRule type="cellIs" dxfId="0" priority="982" operator="equal">
      <formula>"不通过"</formula>
    </cfRule>
    <cfRule type="cellIs" dxfId="8" priority="949" operator="equal">
      <formula>"堵塞"</formula>
    </cfRule>
  </conditionalFormatting>
  <conditionalFormatting sqref="C7">
    <cfRule type="cellIs" dxfId="9" priority="12602" operator="equal">
      <formula>"3级"</formula>
    </cfRule>
    <cfRule type="cellIs" dxfId="2" priority="12652" operator="equal">
      <formula>"2级"</formula>
    </cfRule>
    <cfRule type="cellIs" dxfId="10" priority="12702" operator="equal">
      <formula>"1级"</formula>
    </cfRule>
  </conditionalFormatting>
  <conditionalFormatting sqref="E7">
    <cfRule type="cellIs" dxfId="11" priority="12252" operator="equal">
      <formula>"废弃"</formula>
    </cfRule>
    <cfRule type="cellIs" dxfId="12" priority="12302" operator="equal">
      <formula>"更新"</formula>
    </cfRule>
    <cfRule type="cellIs" dxfId="13" priority="12352" operator="equal">
      <formula>"优化"</formula>
    </cfRule>
    <cfRule type="cellIs" dxfId="2" priority="12402" operator="equal">
      <formula>"新增"</formula>
    </cfRule>
    <cfRule type="cellIs" dxfId="5" priority="12452" operator="equal">
      <formula>"IVOC"</formula>
    </cfRule>
    <cfRule type="cellIs" dxfId="6" priority="12502" operator="equal">
      <formula>"500/510"</formula>
    </cfRule>
    <cfRule type="cellIs" dxfId="7" priority="12552" operator="equal">
      <formula>"500/510/IVOC"</formula>
    </cfRule>
    <cfRule type="cellIs" dxfId="1" priority="11902" operator="equal">
      <formula>"新增"</formula>
    </cfRule>
  </conditionalFormatting>
  <conditionalFormatting sqref="L7">
    <cfRule type="cellIs" dxfId="1" priority="1014" operator="equal">
      <formula>"通过"</formula>
    </cfRule>
    <cfRule type="cellIs" dxfId="0" priority="981" operator="equal">
      <formula>"不通过"</formula>
    </cfRule>
    <cfRule type="cellIs" dxfId="8" priority="948" operator="equal">
      <formula>"堵塞"</formula>
    </cfRule>
  </conditionalFormatting>
  <conditionalFormatting sqref="C8">
    <cfRule type="cellIs" dxfId="9" priority="12601" operator="equal">
      <formula>"3级"</formula>
    </cfRule>
    <cfRule type="cellIs" dxfId="2" priority="12651" operator="equal">
      <formula>"2级"</formula>
    </cfRule>
    <cfRule type="cellIs" dxfId="10" priority="12701" operator="equal">
      <formula>"1级"</formula>
    </cfRule>
  </conditionalFormatting>
  <conditionalFormatting sqref="E8">
    <cfRule type="cellIs" dxfId="11" priority="12251" operator="equal">
      <formula>"废弃"</formula>
    </cfRule>
    <cfRule type="cellIs" dxfId="12" priority="12301" operator="equal">
      <formula>"更新"</formula>
    </cfRule>
    <cfRule type="cellIs" dxfId="13" priority="12351" operator="equal">
      <formula>"优化"</formula>
    </cfRule>
    <cfRule type="cellIs" dxfId="2" priority="12401" operator="equal">
      <formula>"新增"</formula>
    </cfRule>
    <cfRule type="cellIs" dxfId="5" priority="12451" operator="equal">
      <formula>"IVOC"</formula>
    </cfRule>
    <cfRule type="cellIs" dxfId="6" priority="12501" operator="equal">
      <formula>"500/510"</formula>
    </cfRule>
    <cfRule type="cellIs" dxfId="7" priority="12551" operator="equal">
      <formula>"500/510/IVOC"</formula>
    </cfRule>
    <cfRule type="cellIs" dxfId="1" priority="11901" operator="equal">
      <formula>"新增"</formula>
    </cfRule>
  </conditionalFormatting>
  <conditionalFormatting sqref="L8">
    <cfRule type="cellIs" dxfId="1" priority="1013" operator="equal">
      <formula>"通过"</formula>
    </cfRule>
    <cfRule type="cellIs" dxfId="0" priority="980" operator="equal">
      <formula>"不通过"</formula>
    </cfRule>
    <cfRule type="cellIs" dxfId="8" priority="947" operator="equal">
      <formula>"堵塞"</formula>
    </cfRule>
  </conditionalFormatting>
  <conditionalFormatting sqref="C9">
    <cfRule type="cellIs" dxfId="9" priority="12600" operator="equal">
      <formula>"3级"</formula>
    </cfRule>
    <cfRule type="cellIs" dxfId="2" priority="12650" operator="equal">
      <formula>"2级"</formula>
    </cfRule>
    <cfRule type="cellIs" dxfId="10" priority="12700" operator="equal">
      <formula>"1级"</formula>
    </cfRule>
  </conditionalFormatting>
  <conditionalFormatting sqref="E9">
    <cfRule type="cellIs" dxfId="11" priority="12250" operator="equal">
      <formula>"废弃"</formula>
    </cfRule>
    <cfRule type="cellIs" dxfId="12" priority="12300" operator="equal">
      <formula>"更新"</formula>
    </cfRule>
    <cfRule type="cellIs" dxfId="13" priority="12350" operator="equal">
      <formula>"优化"</formula>
    </cfRule>
    <cfRule type="cellIs" dxfId="2" priority="12400" operator="equal">
      <formula>"新增"</formula>
    </cfRule>
    <cfRule type="cellIs" dxfId="5" priority="12450" operator="equal">
      <formula>"IVOC"</formula>
    </cfRule>
    <cfRule type="cellIs" dxfId="6" priority="12500" operator="equal">
      <formula>"500/510"</formula>
    </cfRule>
    <cfRule type="cellIs" dxfId="7" priority="12550" operator="equal">
      <formula>"500/510/IVOC"</formula>
    </cfRule>
    <cfRule type="cellIs" dxfId="1" priority="11900" operator="equal">
      <formula>"新增"</formula>
    </cfRule>
  </conditionalFormatting>
  <conditionalFormatting sqref="L9">
    <cfRule type="cellIs" dxfId="1" priority="1012" operator="equal">
      <formula>"通过"</formula>
    </cfRule>
    <cfRule type="cellIs" dxfId="0" priority="979" operator="equal">
      <formula>"不通过"</formula>
    </cfRule>
    <cfRule type="cellIs" dxfId="8" priority="946" operator="equal">
      <formula>"堵塞"</formula>
    </cfRule>
  </conditionalFormatting>
  <conditionalFormatting sqref="C10">
    <cfRule type="cellIs" dxfId="9" priority="12599" operator="equal">
      <formula>"3级"</formula>
    </cfRule>
    <cfRule type="cellIs" dxfId="2" priority="12649" operator="equal">
      <formula>"2级"</formula>
    </cfRule>
    <cfRule type="cellIs" dxfId="10" priority="12699" operator="equal">
      <formula>"1级"</formula>
    </cfRule>
  </conditionalFormatting>
  <conditionalFormatting sqref="E10">
    <cfRule type="cellIs" dxfId="11" priority="12249" operator="equal">
      <formula>"废弃"</formula>
    </cfRule>
    <cfRule type="cellIs" dxfId="12" priority="12299" operator="equal">
      <formula>"更新"</formula>
    </cfRule>
    <cfRule type="cellIs" dxfId="13" priority="12349" operator="equal">
      <formula>"优化"</formula>
    </cfRule>
    <cfRule type="cellIs" dxfId="2" priority="12399" operator="equal">
      <formula>"新增"</formula>
    </cfRule>
    <cfRule type="cellIs" dxfId="5" priority="12449" operator="equal">
      <formula>"IVOC"</formula>
    </cfRule>
    <cfRule type="cellIs" dxfId="6" priority="12499" operator="equal">
      <formula>"500/510"</formula>
    </cfRule>
    <cfRule type="cellIs" dxfId="7" priority="12549" operator="equal">
      <formula>"500/510/IVOC"</formula>
    </cfRule>
    <cfRule type="cellIs" dxfId="1" priority="11899" operator="equal">
      <formula>"新增"</formula>
    </cfRule>
  </conditionalFormatting>
  <conditionalFormatting sqref="L10">
    <cfRule type="cellIs" dxfId="1" priority="1011" operator="equal">
      <formula>"通过"</formula>
    </cfRule>
    <cfRule type="cellIs" dxfId="0" priority="978" operator="equal">
      <formula>"不通过"</formula>
    </cfRule>
    <cfRule type="cellIs" dxfId="8" priority="945" operator="equal">
      <formula>"堵塞"</formula>
    </cfRule>
  </conditionalFormatting>
  <conditionalFormatting sqref="C11">
    <cfRule type="cellIs" dxfId="9" priority="12598" operator="equal">
      <formula>"3级"</formula>
    </cfRule>
    <cfRule type="cellIs" dxfId="2" priority="12648" operator="equal">
      <formula>"2级"</formula>
    </cfRule>
    <cfRule type="cellIs" dxfId="10" priority="12698" operator="equal">
      <formula>"1级"</formula>
    </cfRule>
  </conditionalFormatting>
  <conditionalFormatting sqref="E11">
    <cfRule type="cellIs" dxfId="11" priority="12248" operator="equal">
      <formula>"废弃"</formula>
    </cfRule>
    <cfRule type="cellIs" dxfId="12" priority="12298" operator="equal">
      <formula>"更新"</formula>
    </cfRule>
    <cfRule type="cellIs" dxfId="13" priority="12348" operator="equal">
      <formula>"优化"</formula>
    </cfRule>
    <cfRule type="cellIs" dxfId="2" priority="12398" operator="equal">
      <formula>"新增"</formula>
    </cfRule>
    <cfRule type="cellIs" dxfId="5" priority="12448" operator="equal">
      <formula>"IVOC"</formula>
    </cfRule>
    <cfRule type="cellIs" dxfId="6" priority="12498" operator="equal">
      <formula>"500/510"</formula>
    </cfRule>
    <cfRule type="cellIs" dxfId="7" priority="12548" operator="equal">
      <formula>"500/510/IVOC"</formula>
    </cfRule>
    <cfRule type="cellIs" dxfId="1" priority="11898" operator="equal">
      <formula>"新增"</formula>
    </cfRule>
  </conditionalFormatting>
  <conditionalFormatting sqref="L11">
    <cfRule type="cellIs" dxfId="1" priority="1010" operator="equal">
      <formula>"通过"</formula>
    </cfRule>
    <cfRule type="cellIs" dxfId="0" priority="977" operator="equal">
      <formula>"不通过"</formula>
    </cfRule>
    <cfRule type="cellIs" dxfId="8" priority="944" operator="equal">
      <formula>"堵塞"</formula>
    </cfRule>
  </conditionalFormatting>
  <conditionalFormatting sqref="C12">
    <cfRule type="cellIs" dxfId="9" priority="12597" operator="equal">
      <formula>"3级"</formula>
    </cfRule>
    <cfRule type="cellIs" dxfId="2" priority="12647" operator="equal">
      <formula>"2级"</formula>
    </cfRule>
    <cfRule type="cellIs" dxfId="10" priority="12697" operator="equal">
      <formula>"1级"</formula>
    </cfRule>
  </conditionalFormatting>
  <conditionalFormatting sqref="E12">
    <cfRule type="cellIs" dxfId="11" priority="12247" operator="equal">
      <formula>"废弃"</formula>
    </cfRule>
    <cfRule type="cellIs" dxfId="12" priority="12297" operator="equal">
      <formula>"更新"</formula>
    </cfRule>
    <cfRule type="cellIs" dxfId="13" priority="12347" operator="equal">
      <formula>"优化"</formula>
    </cfRule>
    <cfRule type="cellIs" dxfId="2" priority="12397" operator="equal">
      <formula>"新增"</formula>
    </cfRule>
    <cfRule type="cellIs" dxfId="5" priority="12447" operator="equal">
      <formula>"IVOC"</formula>
    </cfRule>
    <cfRule type="cellIs" dxfId="6" priority="12497" operator="equal">
      <formula>"500/510"</formula>
    </cfRule>
    <cfRule type="cellIs" dxfId="7" priority="12547" operator="equal">
      <formula>"500/510/IVOC"</formula>
    </cfRule>
    <cfRule type="cellIs" dxfId="1" priority="11897" operator="equal">
      <formula>"新增"</formula>
    </cfRule>
  </conditionalFormatting>
  <conditionalFormatting sqref="L12">
    <cfRule type="cellIs" dxfId="1" priority="1009" operator="equal">
      <formula>"通过"</formula>
    </cfRule>
    <cfRule type="cellIs" dxfId="0" priority="976" operator="equal">
      <formula>"不通过"</formula>
    </cfRule>
    <cfRule type="cellIs" dxfId="8" priority="943" operator="equal">
      <formula>"堵塞"</formula>
    </cfRule>
  </conditionalFormatting>
  <conditionalFormatting sqref="C13">
    <cfRule type="cellIs" dxfId="9" priority="12596" operator="equal">
      <formula>"3级"</formula>
    </cfRule>
    <cfRule type="cellIs" dxfId="2" priority="12646" operator="equal">
      <formula>"2级"</formula>
    </cfRule>
    <cfRule type="cellIs" dxfId="10" priority="12696" operator="equal">
      <formula>"1级"</formula>
    </cfRule>
  </conditionalFormatting>
  <conditionalFormatting sqref="E13">
    <cfRule type="cellIs" dxfId="11" priority="12246" operator="equal">
      <formula>"废弃"</formula>
    </cfRule>
    <cfRule type="cellIs" dxfId="12" priority="12296" operator="equal">
      <formula>"更新"</formula>
    </cfRule>
    <cfRule type="cellIs" dxfId="13" priority="12346" operator="equal">
      <formula>"优化"</formula>
    </cfRule>
    <cfRule type="cellIs" dxfId="2" priority="12396" operator="equal">
      <formula>"新增"</formula>
    </cfRule>
    <cfRule type="cellIs" dxfId="5" priority="12446" operator="equal">
      <formula>"IVOC"</formula>
    </cfRule>
    <cfRule type="cellIs" dxfId="6" priority="12496" operator="equal">
      <formula>"500/510"</formula>
    </cfRule>
    <cfRule type="cellIs" dxfId="7" priority="12546" operator="equal">
      <formula>"500/510/IVOC"</formula>
    </cfRule>
    <cfRule type="cellIs" dxfId="1" priority="11896" operator="equal">
      <formula>"新增"</formula>
    </cfRule>
  </conditionalFormatting>
  <conditionalFormatting sqref="L13">
    <cfRule type="cellIs" dxfId="1" priority="1008" operator="equal">
      <formula>"通过"</formula>
    </cfRule>
    <cfRule type="cellIs" dxfId="0" priority="975" operator="equal">
      <formula>"不通过"</formula>
    </cfRule>
    <cfRule type="cellIs" dxfId="8" priority="942" operator="equal">
      <formula>"堵塞"</formula>
    </cfRule>
  </conditionalFormatting>
  <conditionalFormatting sqref="C14">
    <cfRule type="cellIs" dxfId="9" priority="12595" operator="equal">
      <formula>"3级"</formula>
    </cfRule>
    <cfRule type="cellIs" dxfId="2" priority="12645" operator="equal">
      <formula>"2级"</formula>
    </cfRule>
    <cfRule type="cellIs" dxfId="10" priority="12695" operator="equal">
      <formula>"1级"</formula>
    </cfRule>
  </conditionalFormatting>
  <conditionalFormatting sqref="E14">
    <cfRule type="cellIs" dxfId="11" priority="12245" operator="equal">
      <formula>"废弃"</formula>
    </cfRule>
    <cfRule type="cellIs" dxfId="12" priority="12295" operator="equal">
      <formula>"更新"</formula>
    </cfRule>
    <cfRule type="cellIs" dxfId="13" priority="12345" operator="equal">
      <formula>"优化"</formula>
    </cfRule>
    <cfRule type="cellIs" dxfId="2" priority="12395" operator="equal">
      <formula>"新增"</formula>
    </cfRule>
    <cfRule type="cellIs" dxfId="5" priority="12445" operator="equal">
      <formula>"IVOC"</formula>
    </cfRule>
    <cfRule type="cellIs" dxfId="6" priority="12495" operator="equal">
      <formula>"500/510"</formula>
    </cfRule>
    <cfRule type="cellIs" dxfId="7" priority="12545" operator="equal">
      <formula>"500/510/IVOC"</formula>
    </cfRule>
    <cfRule type="cellIs" dxfId="1" priority="11895" operator="equal">
      <formula>"新增"</formula>
    </cfRule>
  </conditionalFormatting>
  <conditionalFormatting sqref="L14">
    <cfRule type="cellIs" dxfId="1" priority="1007" operator="equal">
      <formula>"通过"</formula>
    </cfRule>
    <cfRule type="cellIs" dxfId="0" priority="974" operator="equal">
      <formula>"不通过"</formula>
    </cfRule>
    <cfRule type="cellIs" dxfId="8" priority="941" operator="equal">
      <formula>"堵塞"</formula>
    </cfRule>
  </conditionalFormatting>
  <conditionalFormatting sqref="C15">
    <cfRule type="cellIs" dxfId="9" priority="12594" operator="equal">
      <formula>"3级"</formula>
    </cfRule>
    <cfRule type="cellIs" dxfId="2" priority="12644" operator="equal">
      <formula>"2级"</formula>
    </cfRule>
    <cfRule type="cellIs" dxfId="10" priority="12694" operator="equal">
      <formula>"1级"</formula>
    </cfRule>
  </conditionalFormatting>
  <conditionalFormatting sqref="E15">
    <cfRule type="cellIs" dxfId="11" priority="12244" operator="equal">
      <formula>"废弃"</formula>
    </cfRule>
    <cfRule type="cellIs" dxfId="12" priority="12294" operator="equal">
      <formula>"更新"</formula>
    </cfRule>
    <cfRule type="cellIs" dxfId="13" priority="12344" operator="equal">
      <formula>"优化"</formula>
    </cfRule>
    <cfRule type="cellIs" dxfId="2" priority="12394" operator="equal">
      <formula>"新增"</formula>
    </cfRule>
    <cfRule type="cellIs" dxfId="5" priority="12444" operator="equal">
      <formula>"IVOC"</formula>
    </cfRule>
    <cfRule type="cellIs" dxfId="6" priority="12494" operator="equal">
      <formula>"500/510"</formula>
    </cfRule>
    <cfRule type="cellIs" dxfId="7" priority="12544" operator="equal">
      <formula>"500/510/IVOC"</formula>
    </cfRule>
    <cfRule type="cellIs" dxfId="1" priority="11894" operator="equal">
      <formula>"新增"</formula>
    </cfRule>
  </conditionalFormatting>
  <conditionalFormatting sqref="L15">
    <cfRule type="cellIs" dxfId="1" priority="1006" operator="equal">
      <formula>"通过"</formula>
    </cfRule>
    <cfRule type="cellIs" dxfId="0" priority="973" operator="equal">
      <formula>"不通过"</formula>
    </cfRule>
    <cfRule type="cellIs" dxfId="8" priority="940" operator="equal">
      <formula>"堵塞"</formula>
    </cfRule>
  </conditionalFormatting>
  <conditionalFormatting sqref="C16">
    <cfRule type="cellIs" dxfId="9" priority="12593" operator="equal">
      <formula>"3级"</formula>
    </cfRule>
    <cfRule type="cellIs" dxfId="2" priority="12643" operator="equal">
      <formula>"2级"</formula>
    </cfRule>
    <cfRule type="cellIs" dxfId="10" priority="12693" operator="equal">
      <formula>"1级"</formula>
    </cfRule>
  </conditionalFormatting>
  <conditionalFormatting sqref="E16">
    <cfRule type="cellIs" dxfId="11" priority="12243" operator="equal">
      <formula>"废弃"</formula>
    </cfRule>
    <cfRule type="cellIs" dxfId="12" priority="12293" operator="equal">
      <formula>"更新"</formula>
    </cfRule>
    <cfRule type="cellIs" dxfId="13" priority="12343" operator="equal">
      <formula>"优化"</formula>
    </cfRule>
    <cfRule type="cellIs" dxfId="2" priority="12393" operator="equal">
      <formula>"新增"</formula>
    </cfRule>
    <cfRule type="cellIs" dxfId="5" priority="12443" operator="equal">
      <formula>"IVOC"</formula>
    </cfRule>
    <cfRule type="cellIs" dxfId="6" priority="12493" operator="equal">
      <formula>"500/510"</formula>
    </cfRule>
    <cfRule type="cellIs" dxfId="7" priority="12543" operator="equal">
      <formula>"500/510/IVOC"</formula>
    </cfRule>
    <cfRule type="cellIs" dxfId="1" priority="11893" operator="equal">
      <formula>"新增"</formula>
    </cfRule>
  </conditionalFormatting>
  <conditionalFormatting sqref="L16">
    <cfRule type="cellIs" dxfId="1" priority="1005" operator="equal">
      <formula>"通过"</formula>
    </cfRule>
    <cfRule type="cellIs" dxfId="0" priority="972" operator="equal">
      <formula>"不通过"</formula>
    </cfRule>
    <cfRule type="cellIs" dxfId="8" priority="939" operator="equal">
      <formula>"堵塞"</formula>
    </cfRule>
  </conditionalFormatting>
  <conditionalFormatting sqref="C17">
    <cfRule type="cellIs" dxfId="9" priority="12592" operator="equal">
      <formula>"3级"</formula>
    </cfRule>
    <cfRule type="cellIs" dxfId="2" priority="12642" operator="equal">
      <formula>"2级"</formula>
    </cfRule>
    <cfRule type="cellIs" dxfId="10" priority="12692" operator="equal">
      <formula>"1级"</formula>
    </cfRule>
  </conditionalFormatting>
  <conditionalFormatting sqref="E17">
    <cfRule type="cellIs" dxfId="11" priority="12242" operator="equal">
      <formula>"废弃"</formula>
    </cfRule>
    <cfRule type="cellIs" dxfId="12" priority="12292" operator="equal">
      <formula>"更新"</formula>
    </cfRule>
    <cfRule type="cellIs" dxfId="13" priority="12342" operator="equal">
      <formula>"优化"</formula>
    </cfRule>
    <cfRule type="cellIs" dxfId="2" priority="12392" operator="equal">
      <formula>"新增"</formula>
    </cfRule>
    <cfRule type="cellIs" dxfId="5" priority="12442" operator="equal">
      <formula>"IVOC"</formula>
    </cfRule>
    <cfRule type="cellIs" dxfId="6" priority="12492" operator="equal">
      <formula>"500/510"</formula>
    </cfRule>
    <cfRule type="cellIs" dxfId="7" priority="12542" operator="equal">
      <formula>"500/510/IVOC"</formula>
    </cfRule>
    <cfRule type="cellIs" dxfId="1" priority="11892" operator="equal">
      <formula>"新增"</formula>
    </cfRule>
  </conditionalFormatting>
  <conditionalFormatting sqref="L17">
    <cfRule type="cellIs" dxfId="1" priority="1004" operator="equal">
      <formula>"通过"</formula>
    </cfRule>
    <cfRule type="cellIs" dxfId="0" priority="971" operator="equal">
      <formula>"不通过"</formula>
    </cfRule>
    <cfRule type="cellIs" dxfId="8" priority="938" operator="equal">
      <formula>"堵塞"</formula>
    </cfRule>
  </conditionalFormatting>
  <conditionalFormatting sqref="C18">
    <cfRule type="cellIs" dxfId="9" priority="12591" operator="equal">
      <formula>"3级"</formula>
    </cfRule>
    <cfRule type="cellIs" dxfId="2" priority="12641" operator="equal">
      <formula>"2级"</formula>
    </cfRule>
    <cfRule type="cellIs" dxfId="10" priority="12691" operator="equal">
      <formula>"1级"</formula>
    </cfRule>
  </conditionalFormatting>
  <conditionalFormatting sqref="E18">
    <cfRule type="cellIs" dxfId="11" priority="12241" operator="equal">
      <formula>"废弃"</formula>
    </cfRule>
    <cfRule type="cellIs" dxfId="12" priority="12291" operator="equal">
      <formula>"更新"</formula>
    </cfRule>
    <cfRule type="cellIs" dxfId="13" priority="12341" operator="equal">
      <formula>"优化"</formula>
    </cfRule>
    <cfRule type="cellIs" dxfId="2" priority="12391" operator="equal">
      <formula>"新增"</formula>
    </cfRule>
    <cfRule type="cellIs" dxfId="5" priority="12441" operator="equal">
      <formula>"IVOC"</formula>
    </cfRule>
    <cfRule type="cellIs" dxfId="6" priority="12491" operator="equal">
      <formula>"500/510"</formula>
    </cfRule>
    <cfRule type="cellIs" dxfId="7" priority="12541" operator="equal">
      <formula>"500/510/IVOC"</formula>
    </cfRule>
    <cfRule type="cellIs" dxfId="1" priority="11891" operator="equal">
      <formula>"新增"</formula>
    </cfRule>
  </conditionalFormatting>
  <conditionalFormatting sqref="L18">
    <cfRule type="cellIs" dxfId="1" priority="1003" operator="equal">
      <formula>"通过"</formula>
    </cfRule>
    <cfRule type="cellIs" dxfId="0" priority="970" operator="equal">
      <formula>"不通过"</formula>
    </cfRule>
    <cfRule type="cellIs" dxfId="8" priority="937" operator="equal">
      <formula>"堵塞"</formula>
    </cfRule>
  </conditionalFormatting>
  <conditionalFormatting sqref="C19">
    <cfRule type="cellIs" dxfId="9" priority="12590" operator="equal">
      <formula>"3级"</formula>
    </cfRule>
    <cfRule type="cellIs" dxfId="2" priority="12640" operator="equal">
      <formula>"2级"</formula>
    </cfRule>
    <cfRule type="cellIs" dxfId="10" priority="12690" operator="equal">
      <formula>"1级"</formula>
    </cfRule>
  </conditionalFormatting>
  <conditionalFormatting sqref="E19">
    <cfRule type="cellIs" dxfId="11" priority="12240" operator="equal">
      <formula>"废弃"</formula>
    </cfRule>
    <cfRule type="cellIs" dxfId="12" priority="12290" operator="equal">
      <formula>"更新"</formula>
    </cfRule>
    <cfRule type="cellIs" dxfId="13" priority="12340" operator="equal">
      <formula>"优化"</formula>
    </cfRule>
    <cfRule type="cellIs" dxfId="2" priority="12390" operator="equal">
      <formula>"新增"</formula>
    </cfRule>
    <cfRule type="cellIs" dxfId="5" priority="12440" operator="equal">
      <formula>"IVOC"</formula>
    </cfRule>
    <cfRule type="cellIs" dxfId="6" priority="12490" operator="equal">
      <formula>"500/510"</formula>
    </cfRule>
    <cfRule type="cellIs" dxfId="7" priority="12540" operator="equal">
      <formula>"500/510/IVOC"</formula>
    </cfRule>
    <cfRule type="cellIs" dxfId="1" priority="11890" operator="equal">
      <formula>"新增"</formula>
    </cfRule>
  </conditionalFormatting>
  <conditionalFormatting sqref="L19">
    <cfRule type="cellIs" dxfId="1" priority="1002" operator="equal">
      <formula>"通过"</formula>
    </cfRule>
    <cfRule type="cellIs" dxfId="0" priority="969" operator="equal">
      <formula>"不通过"</formula>
    </cfRule>
    <cfRule type="cellIs" dxfId="8" priority="936" operator="equal">
      <formula>"堵塞"</formula>
    </cfRule>
  </conditionalFormatting>
  <conditionalFormatting sqref="C20">
    <cfRule type="cellIs" dxfId="9" priority="12589" operator="equal">
      <formula>"3级"</formula>
    </cfRule>
    <cfRule type="cellIs" dxfId="2" priority="12639" operator="equal">
      <formula>"2级"</formula>
    </cfRule>
    <cfRule type="cellIs" dxfId="10" priority="12689" operator="equal">
      <formula>"1级"</formula>
    </cfRule>
  </conditionalFormatting>
  <conditionalFormatting sqref="E20">
    <cfRule type="cellIs" dxfId="11" priority="12239" operator="equal">
      <formula>"废弃"</formula>
    </cfRule>
    <cfRule type="cellIs" dxfId="12" priority="12289" operator="equal">
      <formula>"更新"</formula>
    </cfRule>
    <cfRule type="cellIs" dxfId="13" priority="12339" operator="equal">
      <formula>"优化"</formula>
    </cfRule>
    <cfRule type="cellIs" dxfId="2" priority="12389" operator="equal">
      <formula>"新增"</formula>
    </cfRule>
    <cfRule type="cellIs" dxfId="5" priority="12439" operator="equal">
      <formula>"IVOC"</formula>
    </cfRule>
    <cfRule type="cellIs" dxfId="6" priority="12489" operator="equal">
      <formula>"500/510"</formula>
    </cfRule>
    <cfRule type="cellIs" dxfId="7" priority="12539" operator="equal">
      <formula>"500/510/IVOC"</formula>
    </cfRule>
    <cfRule type="cellIs" dxfId="1" priority="11889" operator="equal">
      <formula>"新增"</formula>
    </cfRule>
  </conditionalFormatting>
  <conditionalFormatting sqref="L20">
    <cfRule type="cellIs" dxfId="1" priority="1001" operator="equal">
      <formula>"通过"</formula>
    </cfRule>
    <cfRule type="cellIs" dxfId="0" priority="968" operator="equal">
      <formula>"不通过"</formula>
    </cfRule>
    <cfRule type="cellIs" dxfId="8" priority="935" operator="equal">
      <formula>"堵塞"</formula>
    </cfRule>
  </conditionalFormatting>
  <conditionalFormatting sqref="C21">
    <cfRule type="cellIs" dxfId="9" priority="12588" operator="equal">
      <formula>"3级"</formula>
    </cfRule>
    <cfRule type="cellIs" dxfId="2" priority="12638" operator="equal">
      <formula>"2级"</formula>
    </cfRule>
    <cfRule type="cellIs" dxfId="10" priority="12688" operator="equal">
      <formula>"1级"</formula>
    </cfRule>
  </conditionalFormatting>
  <conditionalFormatting sqref="E21">
    <cfRule type="cellIs" dxfId="11" priority="12238" operator="equal">
      <formula>"废弃"</formula>
    </cfRule>
    <cfRule type="cellIs" dxfId="12" priority="12288" operator="equal">
      <formula>"更新"</formula>
    </cfRule>
    <cfRule type="cellIs" dxfId="13" priority="12338" operator="equal">
      <formula>"优化"</formula>
    </cfRule>
    <cfRule type="cellIs" dxfId="2" priority="12388" operator="equal">
      <formula>"新增"</formula>
    </cfRule>
    <cfRule type="cellIs" dxfId="5" priority="12438" operator="equal">
      <formula>"IVOC"</formula>
    </cfRule>
    <cfRule type="cellIs" dxfId="6" priority="12488" operator="equal">
      <formula>"500/510"</formula>
    </cfRule>
    <cfRule type="cellIs" dxfId="7" priority="12538" operator="equal">
      <formula>"500/510/IVOC"</formula>
    </cfRule>
    <cfRule type="cellIs" dxfId="1" priority="11888" operator="equal">
      <formula>"新增"</formula>
    </cfRule>
  </conditionalFormatting>
  <conditionalFormatting sqref="L21">
    <cfRule type="cellIs" dxfId="1" priority="1000" operator="equal">
      <formula>"通过"</formula>
    </cfRule>
    <cfRule type="cellIs" dxfId="0" priority="967" operator="equal">
      <formula>"不通过"</formula>
    </cfRule>
    <cfRule type="cellIs" dxfId="8" priority="934" operator="equal">
      <formula>"堵塞"</formula>
    </cfRule>
  </conditionalFormatting>
  <conditionalFormatting sqref="C22">
    <cfRule type="cellIs" dxfId="9" priority="12587" operator="equal">
      <formula>"3级"</formula>
    </cfRule>
    <cfRule type="cellIs" dxfId="2" priority="12637" operator="equal">
      <formula>"2级"</formula>
    </cfRule>
    <cfRule type="cellIs" dxfId="10" priority="12687" operator="equal">
      <formula>"1级"</formula>
    </cfRule>
  </conditionalFormatting>
  <conditionalFormatting sqref="E22">
    <cfRule type="cellIs" dxfId="11" priority="12237" operator="equal">
      <formula>"废弃"</formula>
    </cfRule>
    <cfRule type="cellIs" dxfId="12" priority="12287" operator="equal">
      <formula>"更新"</formula>
    </cfRule>
    <cfRule type="cellIs" dxfId="13" priority="12337" operator="equal">
      <formula>"优化"</formula>
    </cfRule>
    <cfRule type="cellIs" dxfId="2" priority="12387" operator="equal">
      <formula>"新增"</formula>
    </cfRule>
    <cfRule type="cellIs" dxfId="5" priority="12437" operator="equal">
      <formula>"IVOC"</formula>
    </cfRule>
    <cfRule type="cellIs" dxfId="6" priority="12487" operator="equal">
      <formula>"500/510"</formula>
    </cfRule>
    <cfRule type="cellIs" dxfId="7" priority="12537" operator="equal">
      <formula>"500/510/IVOC"</formula>
    </cfRule>
    <cfRule type="cellIs" dxfId="1" priority="11887" operator="equal">
      <formula>"新增"</formula>
    </cfRule>
  </conditionalFormatting>
  <conditionalFormatting sqref="L22">
    <cfRule type="cellIs" dxfId="1" priority="999" operator="equal">
      <formula>"通过"</formula>
    </cfRule>
    <cfRule type="cellIs" dxfId="0" priority="966" operator="equal">
      <formula>"不通过"</formula>
    </cfRule>
    <cfRule type="cellIs" dxfId="8" priority="933" operator="equal">
      <formula>"堵塞"</formula>
    </cfRule>
  </conditionalFormatting>
  <conditionalFormatting sqref="C23">
    <cfRule type="cellIs" dxfId="9" priority="12586" operator="equal">
      <formula>"3级"</formula>
    </cfRule>
    <cfRule type="cellIs" dxfId="2" priority="12636" operator="equal">
      <formula>"2级"</formula>
    </cfRule>
    <cfRule type="cellIs" dxfId="10" priority="12686" operator="equal">
      <formula>"1级"</formula>
    </cfRule>
  </conditionalFormatting>
  <conditionalFormatting sqref="E23">
    <cfRule type="cellIs" dxfId="11" priority="12236" operator="equal">
      <formula>"废弃"</formula>
    </cfRule>
    <cfRule type="cellIs" dxfId="12" priority="12286" operator="equal">
      <formula>"更新"</formula>
    </cfRule>
    <cfRule type="cellIs" dxfId="13" priority="12336" operator="equal">
      <formula>"优化"</formula>
    </cfRule>
    <cfRule type="cellIs" dxfId="2" priority="12386" operator="equal">
      <formula>"新增"</formula>
    </cfRule>
    <cfRule type="cellIs" dxfId="5" priority="12436" operator="equal">
      <formula>"IVOC"</formula>
    </cfRule>
    <cfRule type="cellIs" dxfId="6" priority="12486" operator="equal">
      <formula>"500/510"</formula>
    </cfRule>
    <cfRule type="cellIs" dxfId="7" priority="12536" operator="equal">
      <formula>"500/510/IVOC"</formula>
    </cfRule>
    <cfRule type="cellIs" dxfId="1" priority="11886" operator="equal">
      <formula>"新增"</formula>
    </cfRule>
  </conditionalFormatting>
  <conditionalFormatting sqref="L23">
    <cfRule type="cellIs" dxfId="1" priority="998" operator="equal">
      <formula>"通过"</formula>
    </cfRule>
    <cfRule type="cellIs" dxfId="0" priority="965" operator="equal">
      <formula>"不通过"</formula>
    </cfRule>
    <cfRule type="cellIs" dxfId="8" priority="932" operator="equal">
      <formula>"堵塞"</formula>
    </cfRule>
  </conditionalFormatting>
  <conditionalFormatting sqref="C24">
    <cfRule type="cellIs" dxfId="9" priority="12585" operator="equal">
      <formula>"3级"</formula>
    </cfRule>
    <cfRule type="cellIs" dxfId="2" priority="12635" operator="equal">
      <formula>"2级"</formula>
    </cfRule>
    <cfRule type="cellIs" dxfId="10" priority="12685" operator="equal">
      <formula>"1级"</formula>
    </cfRule>
  </conditionalFormatting>
  <conditionalFormatting sqref="E24">
    <cfRule type="cellIs" dxfId="11" priority="12235" operator="equal">
      <formula>"废弃"</formula>
    </cfRule>
    <cfRule type="cellIs" dxfId="12" priority="12285" operator="equal">
      <formula>"更新"</formula>
    </cfRule>
    <cfRule type="cellIs" dxfId="13" priority="12335" operator="equal">
      <formula>"优化"</formula>
    </cfRule>
    <cfRule type="cellIs" dxfId="2" priority="12385" operator="equal">
      <formula>"新增"</formula>
    </cfRule>
    <cfRule type="cellIs" dxfId="5" priority="12435" operator="equal">
      <formula>"IVOC"</formula>
    </cfRule>
    <cfRule type="cellIs" dxfId="6" priority="12485" operator="equal">
      <formula>"500/510"</formula>
    </cfRule>
    <cfRule type="cellIs" dxfId="7" priority="12535" operator="equal">
      <formula>"500/510/IVOC"</formula>
    </cfRule>
    <cfRule type="cellIs" dxfId="1" priority="11885" operator="equal">
      <formula>"新增"</formula>
    </cfRule>
  </conditionalFormatting>
  <conditionalFormatting sqref="L24">
    <cfRule type="cellIs" dxfId="1" priority="997" operator="equal">
      <formula>"通过"</formula>
    </cfRule>
    <cfRule type="cellIs" dxfId="0" priority="964" operator="equal">
      <formula>"不通过"</formula>
    </cfRule>
    <cfRule type="cellIs" dxfId="8" priority="931" operator="equal">
      <formula>"堵塞"</formula>
    </cfRule>
  </conditionalFormatting>
  <conditionalFormatting sqref="C25">
    <cfRule type="cellIs" dxfId="9" priority="12584" operator="equal">
      <formula>"3级"</formula>
    </cfRule>
    <cfRule type="cellIs" dxfId="2" priority="12634" operator="equal">
      <formula>"2级"</formula>
    </cfRule>
    <cfRule type="cellIs" dxfId="10" priority="12684" operator="equal">
      <formula>"1级"</formula>
    </cfRule>
  </conditionalFormatting>
  <conditionalFormatting sqref="E25">
    <cfRule type="cellIs" dxfId="11" priority="12234" operator="equal">
      <formula>"废弃"</formula>
    </cfRule>
    <cfRule type="cellIs" dxfId="12" priority="12284" operator="equal">
      <formula>"更新"</formula>
    </cfRule>
    <cfRule type="cellIs" dxfId="13" priority="12334" operator="equal">
      <formula>"优化"</formula>
    </cfRule>
    <cfRule type="cellIs" dxfId="2" priority="12384" operator="equal">
      <formula>"新增"</formula>
    </cfRule>
    <cfRule type="cellIs" dxfId="5" priority="12434" operator="equal">
      <formula>"IVOC"</formula>
    </cfRule>
    <cfRule type="cellIs" dxfId="6" priority="12484" operator="equal">
      <formula>"500/510"</formula>
    </cfRule>
    <cfRule type="cellIs" dxfId="7" priority="12534" operator="equal">
      <formula>"500/510/IVOC"</formula>
    </cfRule>
    <cfRule type="cellIs" dxfId="1" priority="11884" operator="equal">
      <formula>"新增"</formula>
    </cfRule>
  </conditionalFormatting>
  <conditionalFormatting sqref="L25">
    <cfRule type="cellIs" dxfId="1" priority="996" operator="equal">
      <formula>"通过"</formula>
    </cfRule>
    <cfRule type="cellIs" dxfId="0" priority="963" operator="equal">
      <formula>"不通过"</formula>
    </cfRule>
    <cfRule type="cellIs" dxfId="8" priority="930" operator="equal">
      <formula>"堵塞"</formula>
    </cfRule>
  </conditionalFormatting>
  <conditionalFormatting sqref="C26">
    <cfRule type="cellIs" dxfId="9" priority="12583" operator="equal">
      <formula>"3级"</formula>
    </cfRule>
    <cfRule type="cellIs" dxfId="2" priority="12633" operator="equal">
      <formula>"2级"</formula>
    </cfRule>
    <cfRule type="cellIs" dxfId="10" priority="12683" operator="equal">
      <formula>"1级"</formula>
    </cfRule>
  </conditionalFormatting>
  <conditionalFormatting sqref="E26">
    <cfRule type="cellIs" dxfId="11" priority="12233" operator="equal">
      <formula>"废弃"</formula>
    </cfRule>
    <cfRule type="cellIs" dxfId="12" priority="12283" operator="equal">
      <formula>"更新"</formula>
    </cfRule>
    <cfRule type="cellIs" dxfId="13" priority="12333" operator="equal">
      <formula>"优化"</formula>
    </cfRule>
    <cfRule type="cellIs" dxfId="2" priority="12383" operator="equal">
      <formula>"新增"</formula>
    </cfRule>
    <cfRule type="cellIs" dxfId="5" priority="12433" operator="equal">
      <formula>"IVOC"</formula>
    </cfRule>
    <cfRule type="cellIs" dxfId="6" priority="12483" operator="equal">
      <formula>"500/510"</formula>
    </cfRule>
    <cfRule type="cellIs" dxfId="7" priority="12533" operator="equal">
      <formula>"500/510/IVOC"</formula>
    </cfRule>
    <cfRule type="cellIs" dxfId="1" priority="11883" operator="equal">
      <formula>"新增"</formula>
    </cfRule>
  </conditionalFormatting>
  <conditionalFormatting sqref="L26">
    <cfRule type="cellIs" dxfId="1" priority="995" operator="equal">
      <formula>"通过"</formula>
    </cfRule>
    <cfRule type="cellIs" dxfId="0" priority="962" operator="equal">
      <formula>"不通过"</formula>
    </cfRule>
    <cfRule type="cellIs" dxfId="8" priority="929" operator="equal">
      <formula>"堵塞"</formula>
    </cfRule>
  </conditionalFormatting>
  <conditionalFormatting sqref="C27">
    <cfRule type="cellIs" dxfId="9" priority="12582" operator="equal">
      <formula>"3级"</formula>
    </cfRule>
    <cfRule type="cellIs" dxfId="2" priority="12632" operator="equal">
      <formula>"2级"</formula>
    </cfRule>
    <cfRule type="cellIs" dxfId="10" priority="12682" operator="equal">
      <formula>"1级"</formula>
    </cfRule>
  </conditionalFormatting>
  <conditionalFormatting sqref="E27">
    <cfRule type="cellIs" dxfId="11" priority="12232" operator="equal">
      <formula>"废弃"</formula>
    </cfRule>
    <cfRule type="cellIs" dxfId="12" priority="12282" operator="equal">
      <formula>"更新"</formula>
    </cfRule>
    <cfRule type="cellIs" dxfId="13" priority="12332" operator="equal">
      <formula>"优化"</formula>
    </cfRule>
    <cfRule type="cellIs" dxfId="2" priority="12382" operator="equal">
      <formula>"新增"</formula>
    </cfRule>
    <cfRule type="cellIs" dxfId="5" priority="12432" operator="equal">
      <formula>"IVOC"</formula>
    </cfRule>
    <cfRule type="cellIs" dxfId="6" priority="12482" operator="equal">
      <formula>"500/510"</formula>
    </cfRule>
    <cfRule type="cellIs" dxfId="7" priority="12532" operator="equal">
      <formula>"500/510/IVOC"</formula>
    </cfRule>
    <cfRule type="cellIs" dxfId="1" priority="11882" operator="equal">
      <formula>"新增"</formula>
    </cfRule>
  </conditionalFormatting>
  <conditionalFormatting sqref="L27">
    <cfRule type="cellIs" dxfId="1" priority="994" operator="equal">
      <formula>"通过"</formula>
    </cfRule>
    <cfRule type="cellIs" dxfId="0" priority="961" operator="equal">
      <formula>"不通过"</formula>
    </cfRule>
    <cfRule type="cellIs" dxfId="8" priority="928" operator="equal">
      <formula>"堵塞"</formula>
    </cfRule>
  </conditionalFormatting>
  <conditionalFormatting sqref="C28">
    <cfRule type="cellIs" dxfId="9" priority="12581" operator="equal">
      <formula>"3级"</formula>
    </cfRule>
    <cfRule type="cellIs" dxfId="2" priority="12631" operator="equal">
      <formula>"2级"</formula>
    </cfRule>
    <cfRule type="cellIs" dxfId="10" priority="12681" operator="equal">
      <formula>"1级"</formula>
    </cfRule>
  </conditionalFormatting>
  <conditionalFormatting sqref="E28">
    <cfRule type="cellIs" dxfId="11" priority="12231" operator="equal">
      <formula>"废弃"</formula>
    </cfRule>
    <cfRule type="cellIs" dxfId="12" priority="12281" operator="equal">
      <formula>"更新"</formula>
    </cfRule>
    <cfRule type="cellIs" dxfId="13" priority="12331" operator="equal">
      <formula>"优化"</formula>
    </cfRule>
    <cfRule type="cellIs" dxfId="2" priority="12381" operator="equal">
      <formula>"新增"</formula>
    </cfRule>
    <cfRule type="cellIs" dxfId="5" priority="12431" operator="equal">
      <formula>"IVOC"</formula>
    </cfRule>
    <cfRule type="cellIs" dxfId="6" priority="12481" operator="equal">
      <formula>"500/510"</formula>
    </cfRule>
    <cfRule type="cellIs" dxfId="7" priority="12531" operator="equal">
      <formula>"500/510/IVOC"</formula>
    </cfRule>
    <cfRule type="cellIs" dxfId="1" priority="11881" operator="equal">
      <formula>"新增"</formula>
    </cfRule>
  </conditionalFormatting>
  <conditionalFormatting sqref="L28">
    <cfRule type="cellIs" dxfId="1" priority="993" operator="equal">
      <formula>"通过"</formula>
    </cfRule>
    <cfRule type="cellIs" dxfId="0" priority="960" operator="equal">
      <formula>"不通过"</formula>
    </cfRule>
    <cfRule type="cellIs" dxfId="8" priority="927" operator="equal">
      <formula>"堵塞"</formula>
    </cfRule>
  </conditionalFormatting>
  <conditionalFormatting sqref="C29">
    <cfRule type="cellIs" dxfId="9" priority="12580" operator="equal">
      <formula>"3级"</formula>
    </cfRule>
    <cfRule type="cellIs" dxfId="2" priority="12630" operator="equal">
      <formula>"2级"</formula>
    </cfRule>
    <cfRule type="cellIs" dxfId="10" priority="12680" operator="equal">
      <formula>"1级"</formula>
    </cfRule>
  </conditionalFormatting>
  <conditionalFormatting sqref="E29">
    <cfRule type="cellIs" dxfId="11" priority="12230" operator="equal">
      <formula>"废弃"</formula>
    </cfRule>
    <cfRule type="cellIs" dxfId="12" priority="12280" operator="equal">
      <formula>"更新"</formula>
    </cfRule>
    <cfRule type="cellIs" dxfId="13" priority="12330" operator="equal">
      <formula>"优化"</formula>
    </cfRule>
    <cfRule type="cellIs" dxfId="2" priority="12380" operator="equal">
      <formula>"新增"</formula>
    </cfRule>
    <cfRule type="cellIs" dxfId="5" priority="12430" operator="equal">
      <formula>"IVOC"</formula>
    </cfRule>
    <cfRule type="cellIs" dxfId="6" priority="12480" operator="equal">
      <formula>"500/510"</formula>
    </cfRule>
    <cfRule type="cellIs" dxfId="7" priority="12530" operator="equal">
      <formula>"500/510/IVOC"</formula>
    </cfRule>
    <cfRule type="cellIs" dxfId="1" priority="11880" operator="equal">
      <formula>"新增"</formula>
    </cfRule>
  </conditionalFormatting>
  <conditionalFormatting sqref="L29">
    <cfRule type="cellIs" dxfId="1" priority="992" operator="equal">
      <formula>"通过"</formula>
    </cfRule>
    <cfRule type="cellIs" dxfId="0" priority="959" operator="equal">
      <formula>"不通过"</formula>
    </cfRule>
    <cfRule type="cellIs" dxfId="8" priority="926" operator="equal">
      <formula>"堵塞"</formula>
    </cfRule>
  </conditionalFormatting>
  <conditionalFormatting sqref="C30">
    <cfRule type="cellIs" dxfId="9" priority="12579" operator="equal">
      <formula>"3级"</formula>
    </cfRule>
    <cfRule type="cellIs" dxfId="2" priority="12629" operator="equal">
      <formula>"2级"</formula>
    </cfRule>
    <cfRule type="cellIs" dxfId="10" priority="12679" operator="equal">
      <formula>"1级"</formula>
    </cfRule>
  </conditionalFormatting>
  <conditionalFormatting sqref="E30">
    <cfRule type="cellIs" dxfId="11" priority="12229" operator="equal">
      <formula>"废弃"</formula>
    </cfRule>
    <cfRule type="cellIs" dxfId="12" priority="12279" operator="equal">
      <formula>"更新"</formula>
    </cfRule>
    <cfRule type="cellIs" dxfId="13" priority="12329" operator="equal">
      <formula>"优化"</formula>
    </cfRule>
    <cfRule type="cellIs" dxfId="2" priority="12379" operator="equal">
      <formula>"新增"</formula>
    </cfRule>
    <cfRule type="cellIs" dxfId="5" priority="12429" operator="equal">
      <formula>"IVOC"</formula>
    </cfRule>
    <cfRule type="cellIs" dxfId="6" priority="12479" operator="equal">
      <formula>"500/510"</formula>
    </cfRule>
    <cfRule type="cellIs" dxfId="7" priority="12529" operator="equal">
      <formula>"500/510/IVOC"</formula>
    </cfRule>
    <cfRule type="cellIs" dxfId="1" priority="11879" operator="equal">
      <formula>"新增"</formula>
    </cfRule>
  </conditionalFormatting>
  <conditionalFormatting sqref="L30">
    <cfRule type="cellIs" dxfId="1" priority="991" operator="equal">
      <formula>"通过"</formula>
    </cfRule>
    <cfRule type="cellIs" dxfId="0" priority="958" operator="equal">
      <formula>"不通过"</formula>
    </cfRule>
    <cfRule type="cellIs" dxfId="8" priority="925" operator="equal">
      <formula>"堵塞"</formula>
    </cfRule>
  </conditionalFormatting>
  <conditionalFormatting sqref="C31">
    <cfRule type="cellIs" dxfId="9" priority="12578" operator="equal">
      <formula>"3级"</formula>
    </cfRule>
    <cfRule type="cellIs" dxfId="2" priority="12628" operator="equal">
      <formula>"2级"</formula>
    </cfRule>
    <cfRule type="cellIs" dxfId="10" priority="12678" operator="equal">
      <formula>"1级"</formula>
    </cfRule>
  </conditionalFormatting>
  <conditionalFormatting sqref="E31">
    <cfRule type="cellIs" dxfId="11" priority="12228" operator="equal">
      <formula>"废弃"</formula>
    </cfRule>
    <cfRule type="cellIs" dxfId="12" priority="12278" operator="equal">
      <formula>"更新"</formula>
    </cfRule>
    <cfRule type="cellIs" dxfId="13" priority="12328" operator="equal">
      <formula>"优化"</formula>
    </cfRule>
    <cfRule type="cellIs" dxfId="2" priority="12378" operator="equal">
      <formula>"新增"</formula>
    </cfRule>
    <cfRule type="cellIs" dxfId="5" priority="12428" operator="equal">
      <formula>"IVOC"</formula>
    </cfRule>
    <cfRule type="cellIs" dxfId="6" priority="12478" operator="equal">
      <formula>"500/510"</formula>
    </cfRule>
    <cfRule type="cellIs" dxfId="7" priority="12528" operator="equal">
      <formula>"500/510/IVOC"</formula>
    </cfRule>
    <cfRule type="cellIs" dxfId="1" priority="11878" operator="equal">
      <formula>"新增"</formula>
    </cfRule>
  </conditionalFormatting>
  <conditionalFormatting sqref="L31">
    <cfRule type="cellIs" dxfId="1" priority="990" operator="equal">
      <formula>"通过"</formula>
    </cfRule>
    <cfRule type="cellIs" dxfId="0" priority="957" operator="equal">
      <formula>"不通过"</formula>
    </cfRule>
    <cfRule type="cellIs" dxfId="8" priority="924" operator="equal">
      <formula>"堵塞"</formula>
    </cfRule>
  </conditionalFormatting>
  <conditionalFormatting sqref="C32">
    <cfRule type="cellIs" dxfId="9" priority="12577" operator="equal">
      <formula>"3级"</formula>
    </cfRule>
    <cfRule type="cellIs" dxfId="2" priority="12627" operator="equal">
      <formula>"2级"</formula>
    </cfRule>
    <cfRule type="cellIs" dxfId="10" priority="12677" operator="equal">
      <formula>"1级"</formula>
    </cfRule>
  </conditionalFormatting>
  <conditionalFormatting sqref="E32">
    <cfRule type="cellIs" dxfId="11" priority="12227" operator="equal">
      <formula>"废弃"</formula>
    </cfRule>
    <cfRule type="cellIs" dxfId="12" priority="12277" operator="equal">
      <formula>"更新"</formula>
    </cfRule>
    <cfRule type="cellIs" dxfId="13" priority="12327" operator="equal">
      <formula>"优化"</formula>
    </cfRule>
    <cfRule type="cellIs" dxfId="2" priority="12377" operator="equal">
      <formula>"新增"</formula>
    </cfRule>
    <cfRule type="cellIs" dxfId="5" priority="12427" operator="equal">
      <formula>"IVOC"</formula>
    </cfRule>
    <cfRule type="cellIs" dxfId="6" priority="12477" operator="equal">
      <formula>"500/510"</formula>
    </cfRule>
    <cfRule type="cellIs" dxfId="7" priority="12527" operator="equal">
      <formula>"500/510/IVOC"</formula>
    </cfRule>
    <cfRule type="cellIs" dxfId="1" priority="11877" operator="equal">
      <formula>"新增"</formula>
    </cfRule>
  </conditionalFormatting>
  <conditionalFormatting sqref="L32">
    <cfRule type="cellIs" dxfId="1" priority="989" operator="equal">
      <formula>"通过"</formula>
    </cfRule>
    <cfRule type="cellIs" dxfId="0" priority="956" operator="equal">
      <formula>"不通过"</formula>
    </cfRule>
    <cfRule type="cellIs" dxfId="8" priority="923" operator="equal">
      <formula>"堵塞"</formula>
    </cfRule>
  </conditionalFormatting>
  <conditionalFormatting sqref="C33">
    <cfRule type="cellIs" dxfId="9" priority="12576" operator="equal">
      <formula>"3级"</formula>
    </cfRule>
    <cfRule type="cellIs" dxfId="2" priority="12626" operator="equal">
      <formula>"2级"</formula>
    </cfRule>
    <cfRule type="cellIs" dxfId="10" priority="12676" operator="equal">
      <formula>"1级"</formula>
    </cfRule>
  </conditionalFormatting>
  <conditionalFormatting sqref="E33">
    <cfRule type="cellIs" dxfId="11" priority="12226" operator="equal">
      <formula>"废弃"</formula>
    </cfRule>
    <cfRule type="cellIs" dxfId="12" priority="12276" operator="equal">
      <formula>"更新"</formula>
    </cfRule>
    <cfRule type="cellIs" dxfId="13" priority="12326" operator="equal">
      <formula>"优化"</formula>
    </cfRule>
    <cfRule type="cellIs" dxfId="2" priority="12376" operator="equal">
      <formula>"新增"</formula>
    </cfRule>
    <cfRule type="cellIs" dxfId="5" priority="12426" operator="equal">
      <formula>"IVOC"</formula>
    </cfRule>
    <cfRule type="cellIs" dxfId="6" priority="12476" operator="equal">
      <formula>"500/510"</formula>
    </cfRule>
    <cfRule type="cellIs" dxfId="7" priority="12526" operator="equal">
      <formula>"500/510/IVOC"</formula>
    </cfRule>
    <cfRule type="cellIs" dxfId="1" priority="11876" operator="equal">
      <formula>"新增"</formula>
    </cfRule>
  </conditionalFormatting>
  <conditionalFormatting sqref="L33">
    <cfRule type="cellIs" dxfId="1" priority="988" operator="equal">
      <formula>"通过"</formula>
    </cfRule>
    <cfRule type="cellIs" dxfId="0" priority="955" operator="equal">
      <formula>"不通过"</formula>
    </cfRule>
    <cfRule type="cellIs" dxfId="8" priority="922" operator="equal">
      <formula>"堵塞"</formula>
    </cfRule>
  </conditionalFormatting>
  <conditionalFormatting sqref="C34">
    <cfRule type="cellIs" dxfId="9" priority="12575" operator="equal">
      <formula>"3级"</formula>
    </cfRule>
    <cfRule type="cellIs" dxfId="2" priority="12625" operator="equal">
      <formula>"2级"</formula>
    </cfRule>
    <cfRule type="cellIs" dxfId="10" priority="12675" operator="equal">
      <formula>"1级"</formula>
    </cfRule>
  </conditionalFormatting>
  <conditionalFormatting sqref="E34">
    <cfRule type="cellIs" dxfId="11" priority="12225" operator="equal">
      <formula>"废弃"</formula>
    </cfRule>
    <cfRule type="cellIs" dxfId="12" priority="12275" operator="equal">
      <formula>"更新"</formula>
    </cfRule>
    <cfRule type="cellIs" dxfId="13" priority="12325" operator="equal">
      <formula>"优化"</formula>
    </cfRule>
    <cfRule type="cellIs" dxfId="2" priority="12375" operator="equal">
      <formula>"新增"</formula>
    </cfRule>
    <cfRule type="cellIs" dxfId="5" priority="12425" operator="equal">
      <formula>"IVOC"</formula>
    </cfRule>
    <cfRule type="cellIs" dxfId="6" priority="12475" operator="equal">
      <formula>"500/510"</formula>
    </cfRule>
    <cfRule type="cellIs" dxfId="7" priority="12525" operator="equal">
      <formula>"500/510/IVOC"</formula>
    </cfRule>
    <cfRule type="cellIs" dxfId="1" priority="11875" operator="equal">
      <formula>"新增"</formula>
    </cfRule>
  </conditionalFormatting>
  <conditionalFormatting sqref="L34">
    <cfRule type="cellIs" dxfId="1" priority="987" operator="equal">
      <formula>"通过"</formula>
    </cfRule>
    <cfRule type="cellIs" dxfId="0" priority="954" operator="equal">
      <formula>"不通过"</formula>
    </cfRule>
    <cfRule type="cellIs" dxfId="8" priority="921" operator="equal">
      <formula>"堵塞"</formula>
    </cfRule>
  </conditionalFormatting>
  <conditionalFormatting sqref="C35">
    <cfRule type="cellIs" dxfId="9" priority="12574" operator="equal">
      <formula>"3级"</formula>
    </cfRule>
    <cfRule type="cellIs" dxfId="2" priority="12624" operator="equal">
      <formula>"2级"</formula>
    </cfRule>
    <cfRule type="cellIs" dxfId="10" priority="12674" operator="equal">
      <formula>"1级"</formula>
    </cfRule>
  </conditionalFormatting>
  <conditionalFormatting sqref="E35">
    <cfRule type="cellIs" dxfId="11" priority="12224" operator="equal">
      <formula>"废弃"</formula>
    </cfRule>
    <cfRule type="cellIs" dxfId="12" priority="12274" operator="equal">
      <formula>"更新"</formula>
    </cfRule>
    <cfRule type="cellIs" dxfId="13" priority="12324" operator="equal">
      <formula>"优化"</formula>
    </cfRule>
    <cfRule type="cellIs" dxfId="2" priority="12374" operator="equal">
      <formula>"新增"</formula>
    </cfRule>
    <cfRule type="cellIs" dxfId="5" priority="12424" operator="equal">
      <formula>"IVOC"</formula>
    </cfRule>
    <cfRule type="cellIs" dxfId="6" priority="12474" operator="equal">
      <formula>"500/510"</formula>
    </cfRule>
    <cfRule type="cellIs" dxfId="7" priority="12524" operator="equal">
      <formula>"500/510/IVOC"</formula>
    </cfRule>
    <cfRule type="cellIs" dxfId="1" priority="11874" operator="equal">
      <formula>"新增"</formula>
    </cfRule>
  </conditionalFormatting>
  <conditionalFormatting sqref="L35">
    <cfRule type="cellIs" dxfId="1" priority="986" operator="equal">
      <formula>"通过"</formula>
    </cfRule>
    <cfRule type="cellIs" dxfId="0" priority="953" operator="equal">
      <formula>"不通过"</formula>
    </cfRule>
    <cfRule type="cellIs" dxfId="8" priority="920" operator="equal">
      <formula>"堵塞"</formula>
    </cfRule>
  </conditionalFormatting>
  <conditionalFormatting sqref="C36">
    <cfRule type="cellIs" dxfId="9" priority="12573" operator="equal">
      <formula>"3级"</formula>
    </cfRule>
    <cfRule type="cellIs" dxfId="2" priority="12623" operator="equal">
      <formula>"2级"</formula>
    </cfRule>
    <cfRule type="cellIs" dxfId="10" priority="12673" operator="equal">
      <formula>"1级"</formula>
    </cfRule>
  </conditionalFormatting>
  <conditionalFormatting sqref="E36">
    <cfRule type="cellIs" dxfId="11" priority="12223" operator="equal">
      <formula>"废弃"</formula>
    </cfRule>
    <cfRule type="cellIs" dxfId="12" priority="12273" operator="equal">
      <formula>"更新"</formula>
    </cfRule>
    <cfRule type="cellIs" dxfId="13" priority="12323" operator="equal">
      <formula>"优化"</formula>
    </cfRule>
    <cfRule type="cellIs" dxfId="2" priority="12373" operator="equal">
      <formula>"新增"</formula>
    </cfRule>
    <cfRule type="cellIs" dxfId="5" priority="12423" operator="equal">
      <formula>"IVOC"</formula>
    </cfRule>
    <cfRule type="cellIs" dxfId="6" priority="12473" operator="equal">
      <formula>"500/510"</formula>
    </cfRule>
    <cfRule type="cellIs" dxfId="7" priority="12523" operator="equal">
      <formula>"500/510/IVOC"</formula>
    </cfRule>
    <cfRule type="cellIs" dxfId="1" priority="11873" operator="equal">
      <formula>"新增"</formula>
    </cfRule>
  </conditionalFormatting>
  <conditionalFormatting sqref="L36">
    <cfRule type="cellIs" dxfId="1" priority="985" operator="equal">
      <formula>"通过"</formula>
    </cfRule>
    <cfRule type="cellIs" dxfId="0" priority="952" operator="equal">
      <formula>"不通过"</formula>
    </cfRule>
    <cfRule type="cellIs" dxfId="8" priority="919" operator="equal">
      <formula>"堵塞"</formula>
    </cfRule>
  </conditionalFormatting>
  <conditionalFormatting sqref="C37">
    <cfRule type="cellIs" dxfId="9" priority="12572" operator="equal">
      <formula>"3级"</formula>
    </cfRule>
    <cfRule type="cellIs" dxfId="2" priority="12622" operator="equal">
      <formula>"2级"</formula>
    </cfRule>
    <cfRule type="cellIs" dxfId="10" priority="12672" operator="equal">
      <formula>"1级"</formula>
    </cfRule>
  </conditionalFormatting>
  <conditionalFormatting sqref="E37">
    <cfRule type="cellIs" dxfId="11" priority="12222" operator="equal">
      <formula>"废弃"</formula>
    </cfRule>
    <cfRule type="cellIs" dxfId="12" priority="12272" operator="equal">
      <formula>"更新"</formula>
    </cfRule>
    <cfRule type="cellIs" dxfId="13" priority="12322" operator="equal">
      <formula>"优化"</formula>
    </cfRule>
    <cfRule type="cellIs" dxfId="2" priority="12372" operator="equal">
      <formula>"新增"</formula>
    </cfRule>
    <cfRule type="cellIs" dxfId="5" priority="12422" operator="equal">
      <formula>"IVOC"</formula>
    </cfRule>
    <cfRule type="cellIs" dxfId="6" priority="12472" operator="equal">
      <formula>"500/510"</formula>
    </cfRule>
    <cfRule type="cellIs" dxfId="7" priority="12522" operator="equal">
      <formula>"500/510/IVOC"</formula>
    </cfRule>
    <cfRule type="cellIs" dxfId="1" priority="11872" operator="equal">
      <formula>"新增"</formula>
    </cfRule>
  </conditionalFormatting>
  <conditionalFormatting sqref="L37">
    <cfRule type="cellIs" dxfId="1" priority="984" operator="equal">
      <formula>"通过"</formula>
    </cfRule>
    <cfRule type="cellIs" dxfId="0" priority="951" operator="equal">
      <formula>"不通过"</formula>
    </cfRule>
    <cfRule type="cellIs" dxfId="8" priority="918" operator="equal">
      <formula>"堵塞"</formula>
    </cfRule>
  </conditionalFormatting>
  <conditionalFormatting sqref="C38">
    <cfRule type="cellIs" dxfId="9" priority="12571" operator="equal">
      <formula>"3级"</formula>
    </cfRule>
    <cfRule type="cellIs" dxfId="2" priority="12621" operator="equal">
      <formula>"2级"</formula>
    </cfRule>
    <cfRule type="cellIs" dxfId="10" priority="12671" operator="equal">
      <formula>"1级"</formula>
    </cfRule>
  </conditionalFormatting>
  <conditionalFormatting sqref="E38">
    <cfRule type="cellIs" dxfId="11" priority="12221" operator="equal">
      <formula>"废弃"</formula>
    </cfRule>
    <cfRule type="cellIs" dxfId="12" priority="12271" operator="equal">
      <formula>"更新"</formula>
    </cfRule>
    <cfRule type="cellIs" dxfId="13" priority="12321" operator="equal">
      <formula>"优化"</formula>
    </cfRule>
    <cfRule type="cellIs" dxfId="2" priority="12371" operator="equal">
      <formula>"新增"</formula>
    </cfRule>
    <cfRule type="cellIs" dxfId="5" priority="12421" operator="equal">
      <formula>"IVOC"</formula>
    </cfRule>
    <cfRule type="cellIs" dxfId="6" priority="12471" operator="equal">
      <formula>"500/510"</formula>
    </cfRule>
    <cfRule type="cellIs" dxfId="7" priority="12521" operator="equal">
      <formula>"500/510/IVOC"</formula>
    </cfRule>
    <cfRule type="cellIs" dxfId="1" priority="11871" operator="equal">
      <formula>"新增"</formula>
    </cfRule>
  </conditionalFormatting>
  <conditionalFormatting sqref="L38">
    <cfRule type="cellIs" dxfId="1" priority="917" operator="equal">
      <formula>"通过"</formula>
    </cfRule>
    <cfRule type="cellIs" dxfId="0" priority="912" operator="equal">
      <formula>"不通过"</formula>
    </cfRule>
    <cfRule type="cellIs" dxfId="8" priority="907" operator="equal">
      <formula>"堵塞"</formula>
    </cfRule>
  </conditionalFormatting>
  <conditionalFormatting sqref="C39">
    <cfRule type="cellIs" dxfId="9" priority="11802" operator="equal">
      <formula>"3级"</formula>
    </cfRule>
    <cfRule type="cellIs" dxfId="2" priority="11803" operator="equal">
      <formula>"2级"</formula>
    </cfRule>
    <cfRule type="cellIs" dxfId="10" priority="11804" operator="equal">
      <formula>"1级"</formula>
    </cfRule>
  </conditionalFormatting>
  <conditionalFormatting sqref="E39">
    <cfRule type="cellIs" dxfId="11" priority="11795" operator="equal">
      <formula>"废弃"</formula>
    </cfRule>
    <cfRule type="cellIs" dxfId="12" priority="11796" operator="equal">
      <formula>"更新"</formula>
    </cfRule>
    <cfRule type="cellIs" dxfId="13" priority="11797" operator="equal">
      <formula>"优化"</formula>
    </cfRule>
    <cfRule type="cellIs" dxfId="2" priority="11798" operator="equal">
      <formula>"新增"</formula>
    </cfRule>
    <cfRule type="cellIs" dxfId="5" priority="11799" operator="equal">
      <formula>"IVOC"</formula>
    </cfRule>
    <cfRule type="cellIs" dxfId="6" priority="11800" operator="equal">
      <formula>"500/510"</formula>
    </cfRule>
    <cfRule type="cellIs" dxfId="7" priority="11801" operator="equal">
      <formula>"500/510/IVOC"</formula>
    </cfRule>
    <cfRule type="cellIs" dxfId="1" priority="11788" operator="equal">
      <formula>"新增"</formula>
    </cfRule>
  </conditionalFormatting>
  <conditionalFormatting sqref="L39">
    <cfRule type="cellIs" dxfId="1" priority="916" operator="equal">
      <formula>"通过"</formula>
    </cfRule>
    <cfRule type="cellIs" dxfId="0" priority="911" operator="equal">
      <formula>"不通过"</formula>
    </cfRule>
    <cfRule type="cellIs" dxfId="8" priority="906" operator="equal">
      <formula>"堵塞"</formula>
    </cfRule>
  </conditionalFormatting>
  <conditionalFormatting sqref="C40">
    <cfRule type="cellIs" dxfId="9" priority="11780" operator="equal">
      <formula>"3级"</formula>
    </cfRule>
    <cfRule type="cellIs" dxfId="2" priority="11783" operator="equal">
      <formula>"2级"</formula>
    </cfRule>
    <cfRule type="cellIs" dxfId="10" priority="11786" operator="equal">
      <formula>"1级"</formula>
    </cfRule>
  </conditionalFormatting>
  <conditionalFormatting sqref="E40">
    <cfRule type="cellIs" dxfId="11" priority="11759" operator="equal">
      <formula>"废弃"</formula>
    </cfRule>
    <cfRule type="cellIs" dxfId="12" priority="11762" operator="equal">
      <formula>"更新"</formula>
    </cfRule>
    <cfRule type="cellIs" dxfId="13" priority="11765" operator="equal">
      <formula>"优化"</formula>
    </cfRule>
    <cfRule type="cellIs" dxfId="2" priority="11768" operator="equal">
      <formula>"新增"</formula>
    </cfRule>
    <cfRule type="cellIs" dxfId="5" priority="11771" operator="equal">
      <formula>"IVOC"</formula>
    </cfRule>
    <cfRule type="cellIs" dxfId="6" priority="11774" operator="equal">
      <formula>"500/510"</formula>
    </cfRule>
    <cfRule type="cellIs" dxfId="7" priority="11777" operator="equal">
      <formula>"500/510/IVOC"</formula>
    </cfRule>
    <cfRule type="cellIs" dxfId="1" priority="11738" operator="equal">
      <formula>"新增"</formula>
    </cfRule>
  </conditionalFormatting>
  <conditionalFormatting sqref="L40">
    <cfRule type="cellIs" dxfId="1" priority="915" operator="equal">
      <formula>"通过"</formula>
    </cfRule>
    <cfRule type="cellIs" dxfId="0" priority="910" operator="equal">
      <formula>"不通过"</formula>
    </cfRule>
    <cfRule type="cellIs" dxfId="8" priority="905" operator="equal">
      <formula>"堵塞"</formula>
    </cfRule>
  </conditionalFormatting>
  <conditionalFormatting sqref="C41">
    <cfRule type="cellIs" dxfId="9" priority="11779" operator="equal">
      <formula>"3级"</formula>
    </cfRule>
    <cfRule type="cellIs" dxfId="2" priority="11782" operator="equal">
      <formula>"2级"</formula>
    </cfRule>
    <cfRule type="cellIs" dxfId="10" priority="11785" operator="equal">
      <formula>"1级"</formula>
    </cfRule>
  </conditionalFormatting>
  <conditionalFormatting sqref="E41">
    <cfRule type="cellIs" dxfId="11" priority="11758" operator="equal">
      <formula>"废弃"</formula>
    </cfRule>
    <cfRule type="cellIs" dxfId="12" priority="11761" operator="equal">
      <formula>"更新"</formula>
    </cfRule>
    <cfRule type="cellIs" dxfId="13" priority="11764" operator="equal">
      <formula>"优化"</formula>
    </cfRule>
    <cfRule type="cellIs" dxfId="2" priority="11767" operator="equal">
      <formula>"新增"</formula>
    </cfRule>
    <cfRule type="cellIs" dxfId="5" priority="11770" operator="equal">
      <formula>"IVOC"</formula>
    </cfRule>
    <cfRule type="cellIs" dxfId="6" priority="11773" operator="equal">
      <formula>"500/510"</formula>
    </cfRule>
    <cfRule type="cellIs" dxfId="7" priority="11776" operator="equal">
      <formula>"500/510/IVOC"</formula>
    </cfRule>
    <cfRule type="cellIs" dxfId="1" priority="11737" operator="equal">
      <formula>"新增"</formula>
    </cfRule>
  </conditionalFormatting>
  <conditionalFormatting sqref="L41">
    <cfRule type="cellIs" dxfId="1" priority="914" operator="equal">
      <formula>"通过"</formula>
    </cfRule>
    <cfRule type="cellIs" dxfId="0" priority="909" operator="equal">
      <formula>"不通过"</formula>
    </cfRule>
    <cfRule type="cellIs" dxfId="8" priority="904" operator="equal">
      <formula>"堵塞"</formula>
    </cfRule>
  </conditionalFormatting>
  <conditionalFormatting sqref="C42">
    <cfRule type="cellIs" dxfId="9" priority="11778" operator="equal">
      <formula>"3级"</formula>
    </cfRule>
    <cfRule type="cellIs" dxfId="2" priority="11781" operator="equal">
      <formula>"2级"</formula>
    </cfRule>
    <cfRule type="cellIs" dxfId="10" priority="11784" operator="equal">
      <formula>"1级"</formula>
    </cfRule>
  </conditionalFormatting>
  <conditionalFormatting sqref="E42">
    <cfRule type="cellIs" dxfId="11" priority="11757" operator="equal">
      <formula>"废弃"</formula>
    </cfRule>
    <cfRule type="cellIs" dxfId="12" priority="11760" operator="equal">
      <formula>"更新"</formula>
    </cfRule>
    <cfRule type="cellIs" dxfId="13" priority="11763" operator="equal">
      <formula>"优化"</formula>
    </cfRule>
    <cfRule type="cellIs" dxfId="2" priority="11766" operator="equal">
      <formula>"新增"</formula>
    </cfRule>
    <cfRule type="cellIs" dxfId="5" priority="11769" operator="equal">
      <formula>"IVOC"</formula>
    </cfRule>
    <cfRule type="cellIs" dxfId="6" priority="11772" operator="equal">
      <formula>"500/510"</formula>
    </cfRule>
    <cfRule type="cellIs" dxfId="7" priority="11775" operator="equal">
      <formula>"500/510/IVOC"</formula>
    </cfRule>
    <cfRule type="cellIs" dxfId="1" priority="11736" operator="equal">
      <formula>"新增"</formula>
    </cfRule>
  </conditionalFormatting>
  <conditionalFormatting sqref="L42">
    <cfRule type="cellIs" dxfId="1" priority="913" operator="equal">
      <formula>"通过"</formula>
    </cfRule>
    <cfRule type="cellIs" dxfId="0" priority="908" operator="equal">
      <formula>"不通过"</formula>
    </cfRule>
    <cfRule type="cellIs" dxfId="8" priority="903" operator="equal">
      <formula>"堵塞"</formula>
    </cfRule>
  </conditionalFormatting>
  <conditionalFormatting sqref="C43">
    <cfRule type="cellIs" dxfId="9" priority="11730" operator="equal">
      <formula>"3级"</formula>
    </cfRule>
    <cfRule type="cellIs" dxfId="2" priority="11731" operator="equal">
      <formula>"2级"</formula>
    </cfRule>
    <cfRule type="cellIs" dxfId="10" priority="11732" operator="equal">
      <formula>"1级"</formula>
    </cfRule>
  </conditionalFormatting>
  <conditionalFormatting sqref="E43">
    <cfRule type="cellIs" dxfId="11" priority="11723" operator="equal">
      <formula>"废弃"</formula>
    </cfRule>
    <cfRule type="cellIs" dxfId="12" priority="11724" operator="equal">
      <formula>"更新"</formula>
    </cfRule>
    <cfRule type="cellIs" dxfId="13" priority="11725" operator="equal">
      <formula>"优化"</formula>
    </cfRule>
    <cfRule type="cellIs" dxfId="2" priority="11726" operator="equal">
      <formula>"新增"</formula>
    </cfRule>
    <cfRule type="cellIs" dxfId="5" priority="11727" operator="equal">
      <formula>"IVOC"</formula>
    </cfRule>
    <cfRule type="cellIs" dxfId="6" priority="11728" operator="equal">
      <formula>"500/510"</formula>
    </cfRule>
    <cfRule type="cellIs" dxfId="7" priority="11729" operator="equal">
      <formula>"500/510/IVOC"</formula>
    </cfRule>
    <cfRule type="cellIs" dxfId="1" priority="11716" operator="equal">
      <formula>"新增"</formula>
    </cfRule>
  </conditionalFormatting>
  <conditionalFormatting sqref="L43">
    <cfRule type="cellIs" dxfId="1" priority="902" operator="equal">
      <formula>"通过"</formula>
    </cfRule>
    <cfRule type="cellIs" dxfId="0" priority="901" operator="equal">
      <formula>"不通过"</formula>
    </cfRule>
    <cfRule type="cellIs" dxfId="8" priority="900" operator="equal">
      <formula>"堵塞"</formula>
    </cfRule>
  </conditionalFormatting>
  <conditionalFormatting sqref="C44">
    <cfRule type="cellIs" dxfId="9" priority="11710" operator="equal">
      <formula>"3级"</formula>
    </cfRule>
    <cfRule type="cellIs" dxfId="2" priority="11712" operator="equal">
      <formula>"2级"</formula>
    </cfRule>
    <cfRule type="cellIs" dxfId="10" priority="11714" operator="equal">
      <formula>"1级"</formula>
    </cfRule>
  </conditionalFormatting>
  <conditionalFormatting sqref="E44">
    <cfRule type="cellIs" dxfId="11" priority="11696" operator="equal">
      <formula>"废弃"</formula>
    </cfRule>
    <cfRule type="cellIs" dxfId="12" priority="11698" operator="equal">
      <formula>"更新"</formula>
    </cfRule>
    <cfRule type="cellIs" dxfId="13" priority="11700" operator="equal">
      <formula>"优化"</formula>
    </cfRule>
    <cfRule type="cellIs" dxfId="2" priority="11702" operator="equal">
      <formula>"新增"</formula>
    </cfRule>
    <cfRule type="cellIs" dxfId="5" priority="11704" operator="equal">
      <formula>"IVOC"</formula>
    </cfRule>
    <cfRule type="cellIs" dxfId="6" priority="11706" operator="equal">
      <formula>"500/510"</formula>
    </cfRule>
    <cfRule type="cellIs" dxfId="7" priority="11708" operator="equal">
      <formula>"500/510/IVOC"</formula>
    </cfRule>
    <cfRule type="cellIs" dxfId="1" priority="11682" operator="equal">
      <formula>"新增"</formula>
    </cfRule>
  </conditionalFormatting>
  <conditionalFormatting sqref="L44">
    <cfRule type="cellIs" dxfId="1" priority="899" operator="equal">
      <formula>"通过"</formula>
    </cfRule>
    <cfRule type="cellIs" dxfId="0" priority="897" operator="equal">
      <formula>"不通过"</formula>
    </cfRule>
    <cfRule type="cellIs" dxfId="8" priority="895" operator="equal">
      <formula>"堵塞"</formula>
    </cfRule>
  </conditionalFormatting>
  <conditionalFormatting sqref="C45">
    <cfRule type="cellIs" dxfId="9" priority="11709" operator="equal">
      <formula>"3级"</formula>
    </cfRule>
    <cfRule type="cellIs" dxfId="2" priority="11711" operator="equal">
      <formula>"2级"</formula>
    </cfRule>
    <cfRule type="cellIs" dxfId="10" priority="11713" operator="equal">
      <formula>"1级"</formula>
    </cfRule>
  </conditionalFormatting>
  <conditionalFormatting sqref="E45">
    <cfRule type="cellIs" dxfId="11" priority="11695" operator="equal">
      <formula>"废弃"</formula>
    </cfRule>
    <cfRule type="cellIs" dxfId="12" priority="11697" operator="equal">
      <formula>"更新"</formula>
    </cfRule>
    <cfRule type="cellIs" dxfId="13" priority="11699" operator="equal">
      <formula>"优化"</formula>
    </cfRule>
    <cfRule type="cellIs" dxfId="2" priority="11701" operator="equal">
      <formula>"新增"</formula>
    </cfRule>
    <cfRule type="cellIs" dxfId="5" priority="11703" operator="equal">
      <formula>"IVOC"</formula>
    </cfRule>
    <cfRule type="cellIs" dxfId="6" priority="11705" operator="equal">
      <formula>"500/510"</formula>
    </cfRule>
    <cfRule type="cellIs" dxfId="7" priority="11707" operator="equal">
      <formula>"500/510/IVOC"</formula>
    </cfRule>
    <cfRule type="cellIs" dxfId="1" priority="11681" operator="equal">
      <formula>"新增"</formula>
    </cfRule>
  </conditionalFormatting>
  <conditionalFormatting sqref="L45">
    <cfRule type="cellIs" dxfId="1" priority="898" operator="equal">
      <formula>"通过"</formula>
    </cfRule>
    <cfRule type="cellIs" dxfId="0" priority="896" operator="equal">
      <formula>"不通过"</formula>
    </cfRule>
    <cfRule type="cellIs" dxfId="8" priority="894" operator="equal">
      <formula>"堵塞"</formula>
    </cfRule>
  </conditionalFormatting>
  <conditionalFormatting sqref="C46">
    <cfRule type="cellIs" dxfId="10" priority="6350" operator="equal">
      <formula>"1级"</formula>
    </cfRule>
    <cfRule type="cellIs" dxfId="2" priority="6349" operator="equal">
      <formula>"2级"</formula>
    </cfRule>
    <cfRule type="cellIs" dxfId="9" priority="6348" operator="equal">
      <formula>"3级"</formula>
    </cfRule>
  </conditionalFormatting>
  <conditionalFormatting sqref="E46">
    <cfRule type="cellIs" dxfId="7" priority="6347" operator="equal">
      <formula>"500/510/IVOC"</formula>
    </cfRule>
    <cfRule type="cellIs" dxfId="6" priority="6346" operator="equal">
      <formula>"500/510"</formula>
    </cfRule>
    <cfRule type="cellIs" dxfId="5" priority="6345" operator="equal">
      <formula>"IVOC"</formula>
    </cfRule>
    <cfRule type="cellIs" dxfId="2" priority="6344" operator="equal">
      <formula>"新增"</formula>
    </cfRule>
    <cfRule type="cellIs" dxfId="13" priority="6343" operator="equal">
      <formula>"优化"</formula>
    </cfRule>
    <cfRule type="cellIs" dxfId="12" priority="6342" operator="equal">
      <formula>"更新"</formula>
    </cfRule>
    <cfRule type="cellIs" dxfId="11" priority="6341" operator="equal">
      <formula>"废弃"</formula>
    </cfRule>
    <cfRule type="cellIs" dxfId="1" priority="6334" operator="equal">
      <formula>"新增"</formula>
    </cfRule>
  </conditionalFormatting>
  <conditionalFormatting sqref="L46">
    <cfRule type="cellIs" dxfId="1" priority="893" operator="equal">
      <formula>"通过"</formula>
    </cfRule>
    <cfRule type="cellIs" dxfId="0" priority="890" operator="equal">
      <formula>"不通过"</formula>
    </cfRule>
    <cfRule type="cellIs" dxfId="8" priority="887" operator="equal">
      <formula>"堵塞"</formula>
    </cfRule>
  </conditionalFormatting>
  <conditionalFormatting sqref="C47">
    <cfRule type="cellIs" dxfId="10" priority="6332" operator="equal">
      <formula>"1级"</formula>
    </cfRule>
    <cfRule type="cellIs" dxfId="2" priority="6331" operator="equal">
      <formula>"2级"</formula>
    </cfRule>
    <cfRule type="cellIs" dxfId="9" priority="6330" operator="equal">
      <formula>"3级"</formula>
    </cfRule>
  </conditionalFormatting>
  <conditionalFormatting sqref="E47">
    <cfRule type="cellIs" dxfId="7" priority="6329" operator="equal">
      <formula>"500/510/IVOC"</formula>
    </cfRule>
    <cfRule type="cellIs" dxfId="6" priority="6328" operator="equal">
      <formula>"500/510"</formula>
    </cfRule>
    <cfRule type="cellIs" dxfId="5" priority="6327" operator="equal">
      <formula>"IVOC"</formula>
    </cfRule>
    <cfRule type="cellIs" dxfId="2" priority="6326" operator="equal">
      <formula>"新增"</formula>
    </cfRule>
    <cfRule type="cellIs" dxfId="13" priority="6325" operator="equal">
      <formula>"优化"</formula>
    </cfRule>
    <cfRule type="cellIs" dxfId="12" priority="6324" operator="equal">
      <formula>"更新"</formula>
    </cfRule>
    <cfRule type="cellIs" dxfId="11" priority="6323" operator="equal">
      <formula>"废弃"</formula>
    </cfRule>
    <cfRule type="cellIs" dxfId="1" priority="6316" operator="equal">
      <formula>"新增"</formula>
    </cfRule>
  </conditionalFormatting>
  <conditionalFormatting sqref="L47">
    <cfRule type="cellIs" dxfId="1" priority="892" operator="equal">
      <formula>"通过"</formula>
    </cfRule>
    <cfRule type="cellIs" dxfId="0" priority="889" operator="equal">
      <formula>"不通过"</formula>
    </cfRule>
    <cfRule type="cellIs" dxfId="8" priority="886" operator="equal">
      <formula>"堵塞"</formula>
    </cfRule>
  </conditionalFormatting>
  <conditionalFormatting sqref="C48">
    <cfRule type="cellIs" dxfId="10" priority="6314" operator="equal">
      <formula>"1级"</formula>
    </cfRule>
    <cfRule type="cellIs" dxfId="2" priority="6312" operator="equal">
      <formula>"2级"</formula>
    </cfRule>
    <cfRule type="cellIs" dxfId="9" priority="6310" operator="equal">
      <formula>"3级"</formula>
    </cfRule>
  </conditionalFormatting>
  <conditionalFormatting sqref="E48">
    <cfRule type="cellIs" dxfId="7" priority="6308" operator="equal">
      <formula>"500/510/IVOC"</formula>
    </cfRule>
    <cfRule type="cellIs" dxfId="6" priority="6306" operator="equal">
      <formula>"500/510"</formula>
    </cfRule>
    <cfRule type="cellIs" dxfId="5" priority="6304" operator="equal">
      <formula>"IVOC"</formula>
    </cfRule>
    <cfRule type="cellIs" dxfId="2" priority="6302" operator="equal">
      <formula>"新增"</formula>
    </cfRule>
    <cfRule type="cellIs" dxfId="13" priority="6300" operator="equal">
      <formula>"优化"</formula>
    </cfRule>
    <cfRule type="cellIs" dxfId="12" priority="6298" operator="equal">
      <formula>"更新"</formula>
    </cfRule>
    <cfRule type="cellIs" dxfId="11" priority="6296" operator="equal">
      <formula>"废弃"</formula>
    </cfRule>
    <cfRule type="cellIs" dxfId="1" priority="6282" operator="equal">
      <formula>"新增"</formula>
    </cfRule>
  </conditionalFormatting>
  <conditionalFormatting sqref="L48">
    <cfRule type="cellIs" dxfId="1" priority="891" operator="equal">
      <formula>"通过"</formula>
    </cfRule>
    <cfRule type="cellIs" dxfId="0" priority="888" operator="equal">
      <formula>"不通过"</formula>
    </cfRule>
    <cfRule type="cellIs" dxfId="8" priority="885" operator="equal">
      <formula>"堵塞"</formula>
    </cfRule>
  </conditionalFormatting>
  <conditionalFormatting sqref="C49">
    <cfRule type="cellIs" dxfId="10" priority="6313" operator="equal">
      <formula>"1级"</formula>
    </cfRule>
    <cfRule type="cellIs" dxfId="2" priority="6311" operator="equal">
      <formula>"2级"</formula>
    </cfRule>
    <cfRule type="cellIs" dxfId="9" priority="6309" operator="equal">
      <formula>"3级"</formula>
    </cfRule>
  </conditionalFormatting>
  <conditionalFormatting sqref="E49">
    <cfRule type="cellIs" dxfId="7" priority="6307" operator="equal">
      <formula>"500/510/IVOC"</formula>
    </cfRule>
    <cfRule type="cellIs" dxfId="6" priority="6305" operator="equal">
      <formula>"500/510"</formula>
    </cfRule>
    <cfRule type="cellIs" dxfId="5" priority="6303" operator="equal">
      <formula>"IVOC"</formula>
    </cfRule>
    <cfRule type="cellIs" dxfId="2" priority="6301" operator="equal">
      <formula>"新增"</formula>
    </cfRule>
    <cfRule type="cellIs" dxfId="13" priority="6299" operator="equal">
      <formula>"优化"</formula>
    </cfRule>
    <cfRule type="cellIs" dxfId="12" priority="6297" operator="equal">
      <formula>"更新"</formula>
    </cfRule>
    <cfRule type="cellIs" dxfId="11" priority="6295" operator="equal">
      <formula>"废弃"</formula>
    </cfRule>
    <cfRule type="cellIs" dxfId="1" priority="6281" operator="equal">
      <formula>"新增"</formula>
    </cfRule>
  </conditionalFormatting>
  <conditionalFormatting sqref="L49">
    <cfRule type="cellIs" dxfId="1" priority="884" operator="equal">
      <formula>"通过"</formula>
    </cfRule>
    <cfRule type="cellIs" dxfId="0" priority="883" operator="equal">
      <formula>"不通过"</formula>
    </cfRule>
    <cfRule type="cellIs" dxfId="8" priority="882" operator="equal">
      <formula>"堵塞"</formula>
    </cfRule>
  </conditionalFormatting>
  <conditionalFormatting sqref="C50">
    <cfRule type="cellIs" dxfId="10" priority="6278" operator="equal">
      <formula>"1级"</formula>
    </cfRule>
    <cfRule type="cellIs" dxfId="2" priority="6277" operator="equal">
      <formula>"2级"</formula>
    </cfRule>
    <cfRule type="cellIs" dxfId="9" priority="6276" operator="equal">
      <formula>"3级"</formula>
    </cfRule>
  </conditionalFormatting>
  <conditionalFormatting sqref="E50">
    <cfRule type="cellIs" dxfId="7" priority="6275" operator="equal">
      <formula>"500/510/IVOC"</formula>
    </cfRule>
    <cfRule type="cellIs" dxfId="6" priority="6274" operator="equal">
      <formula>"500/510"</formula>
    </cfRule>
    <cfRule type="cellIs" dxfId="5" priority="6273" operator="equal">
      <formula>"IVOC"</formula>
    </cfRule>
    <cfRule type="cellIs" dxfId="2" priority="6272" operator="equal">
      <formula>"新增"</formula>
    </cfRule>
    <cfRule type="cellIs" dxfId="13" priority="6271" operator="equal">
      <formula>"优化"</formula>
    </cfRule>
    <cfRule type="cellIs" dxfId="12" priority="6270" operator="equal">
      <formula>"更新"</formula>
    </cfRule>
    <cfRule type="cellIs" dxfId="11" priority="6269" operator="equal">
      <formula>"废弃"</formula>
    </cfRule>
    <cfRule type="cellIs" dxfId="1" priority="6262" operator="equal">
      <formula>"新增"</formula>
    </cfRule>
  </conditionalFormatting>
  <conditionalFormatting sqref="L50">
    <cfRule type="cellIs" dxfId="1" priority="881" operator="equal">
      <formula>"通过"</formula>
    </cfRule>
    <cfRule type="cellIs" dxfId="0" priority="816" operator="equal">
      <formula>"不通过"</formula>
    </cfRule>
    <cfRule type="cellIs" dxfId="8" priority="751" operator="equal">
      <formula>"堵塞"</formula>
    </cfRule>
  </conditionalFormatting>
  <conditionalFormatting sqref="C51">
    <cfRule type="cellIs" dxfId="10" priority="6260" operator="equal">
      <formula>"1级"</formula>
    </cfRule>
    <cfRule type="cellIs" dxfId="2" priority="6255" operator="equal">
      <formula>"2级"</formula>
    </cfRule>
    <cfRule type="cellIs" dxfId="9" priority="6250" operator="equal">
      <formula>"3级"</formula>
    </cfRule>
  </conditionalFormatting>
  <conditionalFormatting sqref="E51">
    <cfRule type="cellIs" dxfId="7" priority="6245" operator="equal">
      <formula>"500/510/IVOC"</formula>
    </cfRule>
    <cfRule type="cellIs" dxfId="6" priority="6240" operator="equal">
      <formula>"500/510"</formula>
    </cfRule>
    <cfRule type="cellIs" dxfId="5" priority="6235" operator="equal">
      <formula>"IVOC"</formula>
    </cfRule>
    <cfRule type="cellIs" dxfId="2" priority="6230" operator="equal">
      <formula>"新增"</formula>
    </cfRule>
    <cfRule type="cellIs" dxfId="13" priority="6225" operator="equal">
      <formula>"优化"</formula>
    </cfRule>
    <cfRule type="cellIs" dxfId="12" priority="6220" operator="equal">
      <formula>"更新"</formula>
    </cfRule>
    <cfRule type="cellIs" dxfId="11" priority="6215" operator="equal">
      <formula>"废弃"</formula>
    </cfRule>
    <cfRule type="cellIs" dxfId="1" priority="6180" operator="equal">
      <formula>"新增"</formula>
    </cfRule>
  </conditionalFormatting>
  <conditionalFormatting sqref="L51">
    <cfRule type="cellIs" dxfId="1" priority="880" operator="equal">
      <formula>"通过"</formula>
    </cfRule>
    <cfRule type="cellIs" dxfId="0" priority="815" operator="equal">
      <formula>"不通过"</formula>
    </cfRule>
    <cfRule type="cellIs" dxfId="8" priority="750" operator="equal">
      <formula>"堵塞"</formula>
    </cfRule>
  </conditionalFormatting>
  <conditionalFormatting sqref="C52">
    <cfRule type="cellIs" dxfId="10" priority="6259" operator="equal">
      <formula>"1级"</formula>
    </cfRule>
    <cfRule type="cellIs" dxfId="2" priority="6254" operator="equal">
      <formula>"2级"</formula>
    </cfRule>
    <cfRule type="cellIs" dxfId="9" priority="6249" operator="equal">
      <formula>"3级"</formula>
    </cfRule>
  </conditionalFormatting>
  <conditionalFormatting sqref="E52">
    <cfRule type="cellIs" dxfId="7" priority="6244" operator="equal">
      <formula>"500/510/IVOC"</formula>
    </cfRule>
    <cfRule type="cellIs" dxfId="6" priority="6239" operator="equal">
      <formula>"500/510"</formula>
    </cfRule>
    <cfRule type="cellIs" dxfId="5" priority="6234" operator="equal">
      <formula>"IVOC"</formula>
    </cfRule>
    <cfRule type="cellIs" dxfId="2" priority="6229" operator="equal">
      <formula>"新增"</formula>
    </cfRule>
    <cfRule type="cellIs" dxfId="13" priority="6224" operator="equal">
      <formula>"优化"</formula>
    </cfRule>
    <cfRule type="cellIs" dxfId="12" priority="6219" operator="equal">
      <formula>"更新"</formula>
    </cfRule>
    <cfRule type="cellIs" dxfId="11" priority="6214" operator="equal">
      <formula>"废弃"</formula>
    </cfRule>
    <cfRule type="cellIs" dxfId="1" priority="6179" operator="equal">
      <formula>"新增"</formula>
    </cfRule>
  </conditionalFormatting>
  <conditionalFormatting sqref="L52">
    <cfRule type="cellIs" dxfId="1" priority="879" operator="equal">
      <formula>"通过"</formula>
    </cfRule>
    <cfRule type="cellIs" dxfId="0" priority="814" operator="equal">
      <formula>"不通过"</formula>
    </cfRule>
    <cfRule type="cellIs" dxfId="8" priority="749" operator="equal">
      <formula>"堵塞"</formula>
    </cfRule>
  </conditionalFormatting>
  <conditionalFormatting sqref="C53">
    <cfRule type="cellIs" dxfId="10" priority="6258" operator="equal">
      <formula>"1级"</formula>
    </cfRule>
    <cfRule type="cellIs" dxfId="2" priority="6253" operator="equal">
      <formula>"2级"</formula>
    </cfRule>
    <cfRule type="cellIs" dxfId="9" priority="6248" operator="equal">
      <formula>"3级"</formula>
    </cfRule>
  </conditionalFormatting>
  <conditionalFormatting sqref="E53">
    <cfRule type="cellIs" dxfId="7" priority="6243" operator="equal">
      <formula>"500/510/IVOC"</formula>
    </cfRule>
    <cfRule type="cellIs" dxfId="6" priority="6238" operator="equal">
      <formula>"500/510"</formula>
    </cfRule>
    <cfRule type="cellIs" dxfId="5" priority="6233" operator="equal">
      <formula>"IVOC"</formula>
    </cfRule>
    <cfRule type="cellIs" dxfId="2" priority="6228" operator="equal">
      <formula>"新增"</formula>
    </cfRule>
    <cfRule type="cellIs" dxfId="13" priority="6223" operator="equal">
      <formula>"优化"</formula>
    </cfRule>
    <cfRule type="cellIs" dxfId="12" priority="6218" operator="equal">
      <formula>"更新"</formula>
    </cfRule>
    <cfRule type="cellIs" dxfId="11" priority="6213" operator="equal">
      <formula>"废弃"</formula>
    </cfRule>
    <cfRule type="cellIs" dxfId="1" priority="6178" operator="equal">
      <formula>"新增"</formula>
    </cfRule>
  </conditionalFormatting>
  <conditionalFormatting sqref="L53">
    <cfRule type="cellIs" dxfId="1" priority="878" operator="equal">
      <formula>"通过"</formula>
    </cfRule>
    <cfRule type="cellIs" dxfId="0" priority="813" operator="equal">
      <formula>"不通过"</formula>
    </cfRule>
    <cfRule type="cellIs" dxfId="8" priority="748" operator="equal">
      <formula>"堵塞"</formula>
    </cfRule>
  </conditionalFormatting>
  <conditionalFormatting sqref="C54">
    <cfRule type="cellIs" dxfId="10" priority="6257" operator="equal">
      <formula>"1级"</formula>
    </cfRule>
    <cfRule type="cellIs" dxfId="2" priority="6252" operator="equal">
      <formula>"2级"</formula>
    </cfRule>
    <cfRule type="cellIs" dxfId="9" priority="6247" operator="equal">
      <formula>"3级"</formula>
    </cfRule>
  </conditionalFormatting>
  <conditionalFormatting sqref="E54">
    <cfRule type="cellIs" dxfId="7" priority="6242" operator="equal">
      <formula>"500/510/IVOC"</formula>
    </cfRule>
    <cfRule type="cellIs" dxfId="6" priority="6237" operator="equal">
      <formula>"500/510"</formula>
    </cfRule>
    <cfRule type="cellIs" dxfId="5" priority="6232" operator="equal">
      <formula>"IVOC"</formula>
    </cfRule>
    <cfRule type="cellIs" dxfId="2" priority="6227" operator="equal">
      <formula>"新增"</formula>
    </cfRule>
    <cfRule type="cellIs" dxfId="13" priority="6222" operator="equal">
      <formula>"优化"</formula>
    </cfRule>
    <cfRule type="cellIs" dxfId="12" priority="6217" operator="equal">
      <formula>"更新"</formula>
    </cfRule>
    <cfRule type="cellIs" dxfId="11" priority="6212" operator="equal">
      <formula>"废弃"</formula>
    </cfRule>
    <cfRule type="cellIs" dxfId="1" priority="6177" operator="equal">
      <formula>"新增"</formula>
    </cfRule>
  </conditionalFormatting>
  <conditionalFormatting sqref="L54">
    <cfRule type="cellIs" dxfId="1" priority="877" operator="equal">
      <formula>"通过"</formula>
    </cfRule>
    <cfRule type="cellIs" dxfId="0" priority="812" operator="equal">
      <formula>"不通过"</formula>
    </cfRule>
    <cfRule type="cellIs" dxfId="8" priority="747" operator="equal">
      <formula>"堵塞"</formula>
    </cfRule>
  </conditionalFormatting>
  <conditionalFormatting sqref="C55">
    <cfRule type="cellIs" dxfId="10" priority="6256" operator="equal">
      <formula>"1级"</formula>
    </cfRule>
    <cfRule type="cellIs" dxfId="2" priority="6251" operator="equal">
      <formula>"2级"</formula>
    </cfRule>
    <cfRule type="cellIs" dxfId="9" priority="6246" operator="equal">
      <formula>"3级"</formula>
    </cfRule>
  </conditionalFormatting>
  <conditionalFormatting sqref="E55">
    <cfRule type="cellIs" dxfId="7" priority="6241" operator="equal">
      <formula>"500/510/IVOC"</formula>
    </cfRule>
    <cfRule type="cellIs" dxfId="6" priority="6236" operator="equal">
      <formula>"500/510"</formula>
    </cfRule>
    <cfRule type="cellIs" dxfId="5" priority="6231" operator="equal">
      <formula>"IVOC"</formula>
    </cfRule>
    <cfRule type="cellIs" dxfId="2" priority="6226" operator="equal">
      <formula>"新增"</formula>
    </cfRule>
    <cfRule type="cellIs" dxfId="13" priority="6221" operator="equal">
      <formula>"优化"</formula>
    </cfRule>
    <cfRule type="cellIs" dxfId="12" priority="6216" operator="equal">
      <formula>"更新"</formula>
    </cfRule>
    <cfRule type="cellIs" dxfId="11" priority="6211" operator="equal">
      <formula>"废弃"</formula>
    </cfRule>
    <cfRule type="cellIs" dxfId="1" priority="6176" operator="equal">
      <formula>"新增"</formula>
    </cfRule>
  </conditionalFormatting>
  <conditionalFormatting sqref="L55">
    <cfRule type="cellIs" dxfId="1" priority="876" operator="equal">
      <formula>"通过"</formula>
    </cfRule>
    <cfRule type="cellIs" dxfId="0" priority="811" operator="equal">
      <formula>"不通过"</formula>
    </cfRule>
    <cfRule type="cellIs" dxfId="8" priority="746" operator="equal">
      <formula>"堵塞"</formula>
    </cfRule>
  </conditionalFormatting>
  <conditionalFormatting sqref="C56">
    <cfRule type="cellIs" dxfId="10" priority="6170" operator="equal">
      <formula>"1级"</formula>
    </cfRule>
    <cfRule type="cellIs" dxfId="2" priority="6156" operator="equal">
      <formula>"2级"</formula>
    </cfRule>
    <cfRule type="cellIs" dxfId="9" priority="6142" operator="equal">
      <formula>"3级"</formula>
    </cfRule>
  </conditionalFormatting>
  <conditionalFormatting sqref="E56">
    <cfRule type="cellIs" dxfId="7" priority="6128" operator="equal">
      <formula>"500/510/IVOC"</formula>
    </cfRule>
    <cfRule type="cellIs" dxfId="6" priority="6114" operator="equal">
      <formula>"500/510"</formula>
    </cfRule>
    <cfRule type="cellIs" dxfId="5" priority="6100" operator="equal">
      <formula>"IVOC"</formula>
    </cfRule>
    <cfRule type="cellIs" dxfId="2" priority="6086" operator="equal">
      <formula>"新增"</formula>
    </cfRule>
    <cfRule type="cellIs" dxfId="13" priority="6072" operator="equal">
      <formula>"优化"</formula>
    </cfRule>
    <cfRule type="cellIs" dxfId="12" priority="6058" operator="equal">
      <formula>"更新"</formula>
    </cfRule>
    <cfRule type="cellIs" dxfId="11" priority="6044" operator="equal">
      <formula>"废弃"</formula>
    </cfRule>
    <cfRule type="cellIs" dxfId="1" priority="5946" operator="equal">
      <formula>"新增"</formula>
    </cfRule>
  </conditionalFormatting>
  <conditionalFormatting sqref="L56">
    <cfRule type="cellIs" dxfId="1" priority="875" operator="equal">
      <formula>"通过"</formula>
    </cfRule>
    <cfRule type="cellIs" dxfId="0" priority="810" operator="equal">
      <formula>"不通过"</formula>
    </cfRule>
    <cfRule type="cellIs" dxfId="8" priority="745" operator="equal">
      <formula>"堵塞"</formula>
    </cfRule>
  </conditionalFormatting>
  <conditionalFormatting sqref="C57">
    <cfRule type="cellIs" dxfId="10" priority="6169" operator="equal">
      <formula>"1级"</formula>
    </cfRule>
    <cfRule type="cellIs" dxfId="2" priority="6155" operator="equal">
      <formula>"2级"</formula>
    </cfRule>
    <cfRule type="cellIs" dxfId="9" priority="6141" operator="equal">
      <formula>"3级"</formula>
    </cfRule>
  </conditionalFormatting>
  <conditionalFormatting sqref="E57">
    <cfRule type="cellIs" dxfId="7" priority="6127" operator="equal">
      <formula>"500/510/IVOC"</formula>
    </cfRule>
    <cfRule type="cellIs" dxfId="6" priority="6113" operator="equal">
      <formula>"500/510"</formula>
    </cfRule>
    <cfRule type="cellIs" dxfId="5" priority="6099" operator="equal">
      <formula>"IVOC"</formula>
    </cfRule>
    <cfRule type="cellIs" dxfId="2" priority="6085" operator="equal">
      <formula>"新增"</formula>
    </cfRule>
    <cfRule type="cellIs" dxfId="13" priority="6071" operator="equal">
      <formula>"优化"</formula>
    </cfRule>
    <cfRule type="cellIs" dxfId="12" priority="6057" operator="equal">
      <formula>"更新"</formula>
    </cfRule>
    <cfRule type="cellIs" dxfId="11" priority="6043" operator="equal">
      <formula>"废弃"</formula>
    </cfRule>
    <cfRule type="cellIs" dxfId="1" priority="5945" operator="equal">
      <formula>"新增"</formula>
    </cfRule>
  </conditionalFormatting>
  <conditionalFormatting sqref="L57">
    <cfRule type="cellIs" dxfId="1" priority="874" operator="equal">
      <formula>"通过"</formula>
    </cfRule>
    <cfRule type="cellIs" dxfId="0" priority="809" operator="equal">
      <formula>"不通过"</formula>
    </cfRule>
    <cfRule type="cellIs" dxfId="8" priority="744" operator="equal">
      <formula>"堵塞"</formula>
    </cfRule>
  </conditionalFormatting>
  <conditionalFormatting sqref="C58">
    <cfRule type="cellIs" dxfId="10" priority="6168" operator="equal">
      <formula>"1级"</formula>
    </cfRule>
    <cfRule type="cellIs" dxfId="2" priority="6154" operator="equal">
      <formula>"2级"</formula>
    </cfRule>
    <cfRule type="cellIs" dxfId="9" priority="6140" operator="equal">
      <formula>"3级"</formula>
    </cfRule>
  </conditionalFormatting>
  <conditionalFormatting sqref="E58">
    <cfRule type="cellIs" dxfId="7" priority="6126" operator="equal">
      <formula>"500/510/IVOC"</formula>
    </cfRule>
    <cfRule type="cellIs" dxfId="6" priority="6112" operator="equal">
      <formula>"500/510"</formula>
    </cfRule>
    <cfRule type="cellIs" dxfId="5" priority="6098" operator="equal">
      <formula>"IVOC"</formula>
    </cfRule>
    <cfRule type="cellIs" dxfId="2" priority="6084" operator="equal">
      <formula>"新增"</formula>
    </cfRule>
    <cfRule type="cellIs" dxfId="13" priority="6070" operator="equal">
      <formula>"优化"</formula>
    </cfRule>
    <cfRule type="cellIs" dxfId="12" priority="6056" operator="equal">
      <formula>"更新"</formula>
    </cfRule>
    <cfRule type="cellIs" dxfId="11" priority="6042" operator="equal">
      <formula>"废弃"</formula>
    </cfRule>
    <cfRule type="cellIs" dxfId="1" priority="5944" operator="equal">
      <formula>"新增"</formula>
    </cfRule>
  </conditionalFormatting>
  <conditionalFormatting sqref="L58">
    <cfRule type="cellIs" dxfId="1" priority="873" operator="equal">
      <formula>"通过"</formula>
    </cfRule>
    <cfRule type="cellIs" dxfId="0" priority="808" operator="equal">
      <formula>"不通过"</formula>
    </cfRule>
    <cfRule type="cellIs" dxfId="8" priority="743" operator="equal">
      <formula>"堵塞"</formula>
    </cfRule>
  </conditionalFormatting>
  <conditionalFormatting sqref="C59">
    <cfRule type="cellIs" dxfId="10" priority="6167" operator="equal">
      <formula>"1级"</formula>
    </cfRule>
    <cfRule type="cellIs" dxfId="2" priority="6153" operator="equal">
      <formula>"2级"</formula>
    </cfRule>
    <cfRule type="cellIs" dxfId="9" priority="6139" operator="equal">
      <formula>"3级"</formula>
    </cfRule>
  </conditionalFormatting>
  <conditionalFormatting sqref="E59">
    <cfRule type="cellIs" dxfId="7" priority="6125" operator="equal">
      <formula>"500/510/IVOC"</formula>
    </cfRule>
    <cfRule type="cellIs" dxfId="6" priority="6111" operator="equal">
      <formula>"500/510"</formula>
    </cfRule>
    <cfRule type="cellIs" dxfId="5" priority="6097" operator="equal">
      <formula>"IVOC"</formula>
    </cfRule>
    <cfRule type="cellIs" dxfId="2" priority="6083" operator="equal">
      <formula>"新增"</formula>
    </cfRule>
    <cfRule type="cellIs" dxfId="13" priority="6069" operator="equal">
      <formula>"优化"</formula>
    </cfRule>
    <cfRule type="cellIs" dxfId="12" priority="6055" operator="equal">
      <formula>"更新"</formula>
    </cfRule>
    <cfRule type="cellIs" dxfId="11" priority="6041" operator="equal">
      <formula>"废弃"</formula>
    </cfRule>
    <cfRule type="cellIs" dxfId="1" priority="5943" operator="equal">
      <formula>"新增"</formula>
    </cfRule>
  </conditionalFormatting>
  <conditionalFormatting sqref="L59">
    <cfRule type="cellIs" dxfId="1" priority="872" operator="equal">
      <formula>"通过"</formula>
    </cfRule>
    <cfRule type="cellIs" dxfId="0" priority="807" operator="equal">
      <formula>"不通过"</formula>
    </cfRule>
    <cfRule type="cellIs" dxfId="8" priority="742" operator="equal">
      <formula>"堵塞"</formula>
    </cfRule>
  </conditionalFormatting>
  <conditionalFormatting sqref="C60">
    <cfRule type="cellIs" dxfId="10" priority="6166" operator="equal">
      <formula>"1级"</formula>
    </cfRule>
    <cfRule type="cellIs" dxfId="2" priority="6152" operator="equal">
      <formula>"2级"</formula>
    </cfRule>
    <cfRule type="cellIs" dxfId="9" priority="6138" operator="equal">
      <formula>"3级"</formula>
    </cfRule>
  </conditionalFormatting>
  <conditionalFormatting sqref="E60">
    <cfRule type="cellIs" dxfId="7" priority="6124" operator="equal">
      <formula>"500/510/IVOC"</formula>
    </cfRule>
    <cfRule type="cellIs" dxfId="6" priority="6110" operator="equal">
      <formula>"500/510"</formula>
    </cfRule>
    <cfRule type="cellIs" dxfId="5" priority="6096" operator="equal">
      <formula>"IVOC"</formula>
    </cfRule>
    <cfRule type="cellIs" dxfId="2" priority="6082" operator="equal">
      <formula>"新增"</formula>
    </cfRule>
    <cfRule type="cellIs" dxfId="13" priority="6068" operator="equal">
      <formula>"优化"</formula>
    </cfRule>
    <cfRule type="cellIs" dxfId="12" priority="6054" operator="equal">
      <formula>"更新"</formula>
    </cfRule>
    <cfRule type="cellIs" dxfId="11" priority="6040" operator="equal">
      <formula>"废弃"</formula>
    </cfRule>
    <cfRule type="cellIs" dxfId="1" priority="5942" operator="equal">
      <formula>"新增"</formula>
    </cfRule>
  </conditionalFormatting>
  <conditionalFormatting sqref="L60">
    <cfRule type="cellIs" dxfId="1" priority="871" operator="equal">
      <formula>"通过"</formula>
    </cfRule>
    <cfRule type="cellIs" dxfId="0" priority="806" operator="equal">
      <formula>"不通过"</formula>
    </cfRule>
    <cfRule type="cellIs" dxfId="8" priority="741" operator="equal">
      <formula>"堵塞"</formula>
    </cfRule>
  </conditionalFormatting>
  <conditionalFormatting sqref="C61">
    <cfRule type="cellIs" dxfId="10" priority="6165" operator="equal">
      <formula>"1级"</formula>
    </cfRule>
    <cfRule type="cellIs" dxfId="2" priority="6151" operator="equal">
      <formula>"2级"</formula>
    </cfRule>
    <cfRule type="cellIs" dxfId="9" priority="6137" operator="equal">
      <formula>"3级"</formula>
    </cfRule>
  </conditionalFormatting>
  <conditionalFormatting sqref="E61">
    <cfRule type="cellIs" dxfId="7" priority="6123" operator="equal">
      <formula>"500/510/IVOC"</formula>
    </cfRule>
    <cfRule type="cellIs" dxfId="6" priority="6109" operator="equal">
      <formula>"500/510"</formula>
    </cfRule>
    <cfRule type="cellIs" dxfId="5" priority="6095" operator="equal">
      <formula>"IVOC"</formula>
    </cfRule>
    <cfRule type="cellIs" dxfId="2" priority="6081" operator="equal">
      <formula>"新增"</formula>
    </cfRule>
    <cfRule type="cellIs" dxfId="13" priority="6067" operator="equal">
      <formula>"优化"</formula>
    </cfRule>
    <cfRule type="cellIs" dxfId="12" priority="6053" operator="equal">
      <formula>"更新"</formula>
    </cfRule>
    <cfRule type="cellIs" dxfId="11" priority="6039" operator="equal">
      <formula>"废弃"</formula>
    </cfRule>
    <cfRule type="cellIs" dxfId="1" priority="5941" operator="equal">
      <formula>"新增"</formula>
    </cfRule>
  </conditionalFormatting>
  <conditionalFormatting sqref="L61">
    <cfRule type="cellIs" dxfId="1" priority="870" operator="equal">
      <formula>"通过"</formula>
    </cfRule>
    <cfRule type="cellIs" dxfId="0" priority="805" operator="equal">
      <formula>"不通过"</formula>
    </cfRule>
    <cfRule type="cellIs" dxfId="8" priority="740" operator="equal">
      <formula>"堵塞"</formula>
    </cfRule>
  </conditionalFormatting>
  <conditionalFormatting sqref="C62">
    <cfRule type="cellIs" dxfId="10" priority="6164" operator="equal">
      <formula>"1级"</formula>
    </cfRule>
    <cfRule type="cellIs" dxfId="2" priority="6150" operator="equal">
      <formula>"2级"</formula>
    </cfRule>
    <cfRule type="cellIs" dxfId="9" priority="6136" operator="equal">
      <formula>"3级"</formula>
    </cfRule>
  </conditionalFormatting>
  <conditionalFormatting sqref="E62">
    <cfRule type="cellIs" dxfId="7" priority="6122" operator="equal">
      <formula>"500/510/IVOC"</formula>
    </cfRule>
    <cfRule type="cellIs" dxfId="6" priority="6108" operator="equal">
      <formula>"500/510"</formula>
    </cfRule>
    <cfRule type="cellIs" dxfId="5" priority="6094" operator="equal">
      <formula>"IVOC"</formula>
    </cfRule>
    <cfRule type="cellIs" dxfId="2" priority="6080" operator="equal">
      <formula>"新增"</formula>
    </cfRule>
    <cfRule type="cellIs" dxfId="13" priority="6066" operator="equal">
      <formula>"优化"</formula>
    </cfRule>
    <cfRule type="cellIs" dxfId="12" priority="6052" operator="equal">
      <formula>"更新"</formula>
    </cfRule>
    <cfRule type="cellIs" dxfId="11" priority="6038" operator="equal">
      <formula>"废弃"</formula>
    </cfRule>
    <cfRule type="cellIs" dxfId="1" priority="5940" operator="equal">
      <formula>"新增"</formula>
    </cfRule>
  </conditionalFormatting>
  <conditionalFormatting sqref="L62">
    <cfRule type="cellIs" dxfId="1" priority="869" operator="equal">
      <formula>"通过"</formula>
    </cfRule>
    <cfRule type="cellIs" dxfId="0" priority="804" operator="equal">
      <formula>"不通过"</formula>
    </cfRule>
    <cfRule type="cellIs" dxfId="8" priority="739" operator="equal">
      <formula>"堵塞"</formula>
    </cfRule>
  </conditionalFormatting>
  <conditionalFormatting sqref="C63">
    <cfRule type="cellIs" dxfId="10" priority="6163" operator="equal">
      <formula>"1级"</formula>
    </cfRule>
    <cfRule type="cellIs" dxfId="2" priority="6149" operator="equal">
      <formula>"2级"</formula>
    </cfRule>
    <cfRule type="cellIs" dxfId="9" priority="6135" operator="equal">
      <formula>"3级"</formula>
    </cfRule>
  </conditionalFormatting>
  <conditionalFormatting sqref="E63">
    <cfRule type="cellIs" dxfId="7" priority="6121" operator="equal">
      <formula>"500/510/IVOC"</formula>
    </cfRule>
    <cfRule type="cellIs" dxfId="6" priority="6107" operator="equal">
      <formula>"500/510"</formula>
    </cfRule>
    <cfRule type="cellIs" dxfId="5" priority="6093" operator="equal">
      <formula>"IVOC"</formula>
    </cfRule>
    <cfRule type="cellIs" dxfId="2" priority="6079" operator="equal">
      <formula>"新增"</formula>
    </cfRule>
    <cfRule type="cellIs" dxfId="13" priority="6065" operator="equal">
      <formula>"优化"</formula>
    </cfRule>
    <cfRule type="cellIs" dxfId="12" priority="6051" operator="equal">
      <formula>"更新"</formula>
    </cfRule>
    <cfRule type="cellIs" dxfId="11" priority="6037" operator="equal">
      <formula>"废弃"</formula>
    </cfRule>
    <cfRule type="cellIs" dxfId="1" priority="5939" operator="equal">
      <formula>"新增"</formula>
    </cfRule>
  </conditionalFormatting>
  <conditionalFormatting sqref="L63">
    <cfRule type="cellIs" dxfId="1" priority="868" operator="equal">
      <formula>"通过"</formula>
    </cfRule>
    <cfRule type="cellIs" dxfId="0" priority="803" operator="equal">
      <formula>"不通过"</formula>
    </cfRule>
    <cfRule type="cellIs" dxfId="8" priority="738" operator="equal">
      <formula>"堵塞"</formula>
    </cfRule>
  </conditionalFormatting>
  <conditionalFormatting sqref="C64">
    <cfRule type="cellIs" dxfId="10" priority="6162" operator="equal">
      <formula>"1级"</formula>
    </cfRule>
    <cfRule type="cellIs" dxfId="2" priority="6148" operator="equal">
      <formula>"2级"</formula>
    </cfRule>
    <cfRule type="cellIs" dxfId="9" priority="6134" operator="equal">
      <formula>"3级"</formula>
    </cfRule>
  </conditionalFormatting>
  <conditionalFormatting sqref="E64">
    <cfRule type="cellIs" dxfId="7" priority="6120" operator="equal">
      <formula>"500/510/IVOC"</formula>
    </cfRule>
    <cfRule type="cellIs" dxfId="6" priority="6106" operator="equal">
      <formula>"500/510"</formula>
    </cfRule>
    <cfRule type="cellIs" dxfId="5" priority="6092" operator="equal">
      <formula>"IVOC"</formula>
    </cfRule>
    <cfRule type="cellIs" dxfId="2" priority="6078" operator="equal">
      <formula>"新增"</formula>
    </cfRule>
    <cfRule type="cellIs" dxfId="13" priority="6064" operator="equal">
      <formula>"优化"</formula>
    </cfRule>
    <cfRule type="cellIs" dxfId="12" priority="6050" operator="equal">
      <formula>"更新"</formula>
    </cfRule>
    <cfRule type="cellIs" dxfId="11" priority="6036" operator="equal">
      <formula>"废弃"</formula>
    </cfRule>
    <cfRule type="cellIs" dxfId="1" priority="5938" operator="equal">
      <formula>"新增"</formula>
    </cfRule>
  </conditionalFormatting>
  <conditionalFormatting sqref="L64">
    <cfRule type="cellIs" dxfId="1" priority="867" operator="equal">
      <formula>"通过"</formula>
    </cfRule>
    <cfRule type="cellIs" dxfId="0" priority="802" operator="equal">
      <formula>"不通过"</formula>
    </cfRule>
    <cfRule type="cellIs" dxfId="8" priority="737" operator="equal">
      <formula>"堵塞"</formula>
    </cfRule>
  </conditionalFormatting>
  <conditionalFormatting sqref="C65">
    <cfRule type="cellIs" dxfId="10" priority="6161" operator="equal">
      <formula>"1级"</formula>
    </cfRule>
    <cfRule type="cellIs" dxfId="2" priority="6147" operator="equal">
      <formula>"2级"</formula>
    </cfRule>
    <cfRule type="cellIs" dxfId="9" priority="6133" operator="equal">
      <formula>"3级"</formula>
    </cfRule>
  </conditionalFormatting>
  <conditionalFormatting sqref="E65">
    <cfRule type="cellIs" dxfId="7" priority="6119" operator="equal">
      <formula>"500/510/IVOC"</formula>
    </cfRule>
    <cfRule type="cellIs" dxfId="6" priority="6105" operator="equal">
      <formula>"500/510"</formula>
    </cfRule>
    <cfRule type="cellIs" dxfId="5" priority="6091" operator="equal">
      <formula>"IVOC"</formula>
    </cfRule>
    <cfRule type="cellIs" dxfId="2" priority="6077" operator="equal">
      <formula>"新增"</formula>
    </cfRule>
    <cfRule type="cellIs" dxfId="13" priority="6063" operator="equal">
      <formula>"优化"</formula>
    </cfRule>
    <cfRule type="cellIs" dxfId="12" priority="6049" operator="equal">
      <formula>"更新"</formula>
    </cfRule>
    <cfRule type="cellIs" dxfId="11" priority="6035" operator="equal">
      <formula>"废弃"</formula>
    </cfRule>
    <cfRule type="cellIs" dxfId="1" priority="5937" operator="equal">
      <formula>"新增"</formula>
    </cfRule>
  </conditionalFormatting>
  <conditionalFormatting sqref="L65">
    <cfRule type="cellIs" dxfId="1" priority="866" operator="equal">
      <formula>"通过"</formula>
    </cfRule>
    <cfRule type="cellIs" dxfId="0" priority="801" operator="equal">
      <formula>"不通过"</formula>
    </cfRule>
    <cfRule type="cellIs" dxfId="8" priority="736" operator="equal">
      <formula>"堵塞"</formula>
    </cfRule>
  </conditionalFormatting>
  <conditionalFormatting sqref="C66">
    <cfRule type="cellIs" dxfId="10" priority="6160" operator="equal">
      <formula>"1级"</formula>
    </cfRule>
    <cfRule type="cellIs" dxfId="2" priority="6146" operator="equal">
      <formula>"2级"</formula>
    </cfRule>
    <cfRule type="cellIs" dxfId="9" priority="6132" operator="equal">
      <formula>"3级"</formula>
    </cfRule>
  </conditionalFormatting>
  <conditionalFormatting sqref="E66">
    <cfRule type="cellIs" dxfId="7" priority="6118" operator="equal">
      <formula>"500/510/IVOC"</formula>
    </cfRule>
    <cfRule type="cellIs" dxfId="6" priority="6104" operator="equal">
      <formula>"500/510"</formula>
    </cfRule>
    <cfRule type="cellIs" dxfId="5" priority="6090" operator="equal">
      <formula>"IVOC"</formula>
    </cfRule>
    <cfRule type="cellIs" dxfId="2" priority="6076" operator="equal">
      <formula>"新增"</formula>
    </cfRule>
    <cfRule type="cellIs" dxfId="13" priority="6062" operator="equal">
      <formula>"优化"</formula>
    </cfRule>
    <cfRule type="cellIs" dxfId="12" priority="6048" operator="equal">
      <formula>"更新"</formula>
    </cfRule>
    <cfRule type="cellIs" dxfId="11" priority="6034" operator="equal">
      <formula>"废弃"</formula>
    </cfRule>
    <cfRule type="cellIs" dxfId="1" priority="5936" operator="equal">
      <formula>"新增"</formula>
    </cfRule>
  </conditionalFormatting>
  <conditionalFormatting sqref="L66">
    <cfRule type="cellIs" dxfId="1" priority="865" operator="equal">
      <formula>"通过"</formula>
    </cfRule>
    <cfRule type="cellIs" dxfId="0" priority="800" operator="equal">
      <formula>"不通过"</formula>
    </cfRule>
    <cfRule type="cellIs" dxfId="8" priority="735" operator="equal">
      <formula>"堵塞"</formula>
    </cfRule>
  </conditionalFormatting>
  <conditionalFormatting sqref="C67">
    <cfRule type="cellIs" dxfId="10" priority="6159" operator="equal">
      <formula>"1级"</formula>
    </cfRule>
    <cfRule type="cellIs" dxfId="2" priority="6145" operator="equal">
      <formula>"2级"</formula>
    </cfRule>
    <cfRule type="cellIs" dxfId="9" priority="6131" operator="equal">
      <formula>"3级"</formula>
    </cfRule>
  </conditionalFormatting>
  <conditionalFormatting sqref="E67">
    <cfRule type="cellIs" dxfId="7" priority="6117" operator="equal">
      <formula>"500/510/IVOC"</formula>
    </cfRule>
    <cfRule type="cellIs" dxfId="6" priority="6103" operator="equal">
      <formula>"500/510"</formula>
    </cfRule>
    <cfRule type="cellIs" dxfId="5" priority="6089" operator="equal">
      <formula>"IVOC"</formula>
    </cfRule>
    <cfRule type="cellIs" dxfId="2" priority="6075" operator="equal">
      <formula>"新增"</formula>
    </cfRule>
    <cfRule type="cellIs" dxfId="13" priority="6061" operator="equal">
      <formula>"优化"</formula>
    </cfRule>
    <cfRule type="cellIs" dxfId="12" priority="6047" operator="equal">
      <formula>"更新"</formula>
    </cfRule>
    <cfRule type="cellIs" dxfId="11" priority="6033" operator="equal">
      <formula>"废弃"</formula>
    </cfRule>
    <cfRule type="cellIs" dxfId="1" priority="5935" operator="equal">
      <formula>"新增"</formula>
    </cfRule>
  </conditionalFormatting>
  <conditionalFormatting sqref="L67">
    <cfRule type="cellIs" dxfId="1" priority="864" operator="equal">
      <formula>"通过"</formula>
    </cfRule>
    <cfRule type="cellIs" dxfId="0" priority="799" operator="equal">
      <formula>"不通过"</formula>
    </cfRule>
    <cfRule type="cellIs" dxfId="8" priority="734" operator="equal">
      <formula>"堵塞"</formula>
    </cfRule>
  </conditionalFormatting>
  <conditionalFormatting sqref="C68">
    <cfRule type="cellIs" dxfId="10" priority="6158" operator="equal">
      <formula>"1级"</formula>
    </cfRule>
    <cfRule type="cellIs" dxfId="2" priority="6144" operator="equal">
      <formula>"2级"</formula>
    </cfRule>
    <cfRule type="cellIs" dxfId="9" priority="6130" operator="equal">
      <formula>"3级"</formula>
    </cfRule>
  </conditionalFormatting>
  <conditionalFormatting sqref="E68">
    <cfRule type="cellIs" dxfId="7" priority="6116" operator="equal">
      <formula>"500/510/IVOC"</formula>
    </cfRule>
    <cfRule type="cellIs" dxfId="6" priority="6102" operator="equal">
      <formula>"500/510"</formula>
    </cfRule>
    <cfRule type="cellIs" dxfId="5" priority="6088" operator="equal">
      <formula>"IVOC"</formula>
    </cfRule>
    <cfRule type="cellIs" dxfId="2" priority="6074" operator="equal">
      <formula>"新增"</formula>
    </cfRule>
    <cfRule type="cellIs" dxfId="13" priority="6060" operator="equal">
      <formula>"优化"</formula>
    </cfRule>
    <cfRule type="cellIs" dxfId="12" priority="6046" operator="equal">
      <formula>"更新"</formula>
    </cfRule>
    <cfRule type="cellIs" dxfId="11" priority="6032" operator="equal">
      <formula>"废弃"</formula>
    </cfRule>
    <cfRule type="cellIs" dxfId="1" priority="5934" operator="equal">
      <formula>"新增"</formula>
    </cfRule>
  </conditionalFormatting>
  <conditionalFormatting sqref="L68">
    <cfRule type="cellIs" dxfId="1" priority="863" operator="equal">
      <formula>"通过"</formula>
    </cfRule>
    <cfRule type="cellIs" dxfId="0" priority="798" operator="equal">
      <formula>"不通过"</formula>
    </cfRule>
    <cfRule type="cellIs" dxfId="8" priority="733" operator="equal">
      <formula>"堵塞"</formula>
    </cfRule>
  </conditionalFormatting>
  <conditionalFormatting sqref="C69">
    <cfRule type="cellIs" dxfId="10" priority="6157" operator="equal">
      <formula>"1级"</formula>
    </cfRule>
    <cfRule type="cellIs" dxfId="2" priority="6143" operator="equal">
      <formula>"2级"</formula>
    </cfRule>
    <cfRule type="cellIs" dxfId="9" priority="6129" operator="equal">
      <formula>"3级"</formula>
    </cfRule>
  </conditionalFormatting>
  <conditionalFormatting sqref="E69">
    <cfRule type="cellIs" dxfId="7" priority="6115" operator="equal">
      <formula>"500/510/IVOC"</formula>
    </cfRule>
    <cfRule type="cellIs" dxfId="6" priority="6101" operator="equal">
      <formula>"500/510"</formula>
    </cfRule>
    <cfRule type="cellIs" dxfId="5" priority="6087" operator="equal">
      <formula>"IVOC"</formula>
    </cfRule>
    <cfRule type="cellIs" dxfId="2" priority="6073" operator="equal">
      <formula>"新增"</formula>
    </cfRule>
    <cfRule type="cellIs" dxfId="13" priority="6059" operator="equal">
      <formula>"优化"</formula>
    </cfRule>
    <cfRule type="cellIs" dxfId="12" priority="6045" operator="equal">
      <formula>"更新"</formula>
    </cfRule>
    <cfRule type="cellIs" dxfId="11" priority="6031" operator="equal">
      <formula>"废弃"</formula>
    </cfRule>
    <cfRule type="cellIs" dxfId="1" priority="5933" operator="equal">
      <formula>"新增"</formula>
    </cfRule>
  </conditionalFormatting>
  <conditionalFormatting sqref="L69">
    <cfRule type="cellIs" dxfId="1" priority="862" operator="equal">
      <formula>"通过"</formula>
    </cfRule>
    <cfRule type="cellIs" dxfId="0" priority="797" operator="equal">
      <formula>"不通过"</formula>
    </cfRule>
    <cfRule type="cellIs" dxfId="8" priority="732" operator="equal">
      <formula>"堵塞"</formula>
    </cfRule>
  </conditionalFormatting>
  <conditionalFormatting sqref="C70">
    <cfRule type="cellIs" dxfId="10" priority="5918" operator="equal">
      <formula>"1级"</formula>
    </cfRule>
    <cfRule type="cellIs" dxfId="2" priority="5916" operator="equal">
      <formula>"2级"</formula>
    </cfRule>
    <cfRule type="cellIs" dxfId="9" priority="5914" operator="equal">
      <formula>"3级"</formula>
    </cfRule>
  </conditionalFormatting>
  <conditionalFormatting sqref="E70">
    <cfRule type="cellIs" dxfId="7" priority="5912" operator="equal">
      <formula>"500/510/IVOC"</formula>
    </cfRule>
    <cfRule type="cellIs" dxfId="6" priority="5910" operator="equal">
      <formula>"500/510"</formula>
    </cfRule>
    <cfRule type="cellIs" dxfId="5" priority="5908" operator="equal">
      <formula>"IVOC"</formula>
    </cfRule>
    <cfRule type="cellIs" dxfId="2" priority="5906" operator="equal">
      <formula>"新增"</formula>
    </cfRule>
    <cfRule type="cellIs" dxfId="13" priority="5904" operator="equal">
      <formula>"优化"</formula>
    </cfRule>
    <cfRule type="cellIs" dxfId="12" priority="5902" operator="equal">
      <formula>"更新"</formula>
    </cfRule>
    <cfRule type="cellIs" dxfId="11" priority="5900" operator="equal">
      <formula>"废弃"</formula>
    </cfRule>
    <cfRule type="cellIs" dxfId="1" priority="5886" operator="equal">
      <formula>"新增"</formula>
    </cfRule>
  </conditionalFormatting>
  <conditionalFormatting sqref="L70">
    <cfRule type="cellIs" dxfId="1" priority="861" operator="equal">
      <formula>"通过"</formula>
    </cfRule>
    <cfRule type="cellIs" dxfId="0" priority="796" operator="equal">
      <formula>"不通过"</formula>
    </cfRule>
    <cfRule type="cellIs" dxfId="8" priority="731" operator="equal">
      <formula>"堵塞"</formula>
    </cfRule>
  </conditionalFormatting>
  <conditionalFormatting sqref="C71">
    <cfRule type="cellIs" dxfId="10" priority="5917" operator="equal">
      <formula>"1级"</formula>
    </cfRule>
    <cfRule type="cellIs" dxfId="2" priority="5915" operator="equal">
      <formula>"2级"</formula>
    </cfRule>
    <cfRule type="cellIs" dxfId="9" priority="5913" operator="equal">
      <formula>"3级"</formula>
    </cfRule>
  </conditionalFormatting>
  <conditionalFormatting sqref="E71">
    <cfRule type="cellIs" dxfId="7" priority="5911" operator="equal">
      <formula>"500/510/IVOC"</formula>
    </cfRule>
    <cfRule type="cellIs" dxfId="6" priority="5909" operator="equal">
      <formula>"500/510"</formula>
    </cfRule>
    <cfRule type="cellIs" dxfId="5" priority="5907" operator="equal">
      <formula>"IVOC"</formula>
    </cfRule>
    <cfRule type="cellIs" dxfId="2" priority="5905" operator="equal">
      <formula>"新增"</formula>
    </cfRule>
    <cfRule type="cellIs" dxfId="13" priority="5903" operator="equal">
      <formula>"优化"</formula>
    </cfRule>
    <cfRule type="cellIs" dxfId="12" priority="5901" operator="equal">
      <formula>"更新"</formula>
    </cfRule>
    <cfRule type="cellIs" dxfId="11" priority="5899" operator="equal">
      <formula>"废弃"</formula>
    </cfRule>
    <cfRule type="cellIs" dxfId="1" priority="5885" operator="equal">
      <formula>"新增"</formula>
    </cfRule>
  </conditionalFormatting>
  <conditionalFormatting sqref="L71">
    <cfRule type="cellIs" dxfId="1" priority="860" operator="equal">
      <formula>"通过"</formula>
    </cfRule>
    <cfRule type="cellIs" dxfId="0" priority="795" operator="equal">
      <formula>"不通过"</formula>
    </cfRule>
    <cfRule type="cellIs" dxfId="8" priority="730" operator="equal">
      <formula>"堵塞"</formula>
    </cfRule>
  </conditionalFormatting>
  <conditionalFormatting sqref="C72">
    <cfRule type="cellIs" dxfId="10" priority="5882" operator="equal">
      <formula>"1级"</formula>
    </cfRule>
    <cfRule type="cellIs" dxfId="2" priority="5880" operator="equal">
      <formula>"2级"</formula>
    </cfRule>
    <cfRule type="cellIs" dxfId="9" priority="5878" operator="equal">
      <formula>"3级"</formula>
    </cfRule>
  </conditionalFormatting>
  <conditionalFormatting sqref="E72">
    <cfRule type="cellIs" dxfId="7" priority="5876" operator="equal">
      <formula>"500/510/IVOC"</formula>
    </cfRule>
    <cfRule type="cellIs" dxfId="6" priority="5874" operator="equal">
      <formula>"500/510"</formula>
    </cfRule>
    <cfRule type="cellIs" dxfId="5" priority="5872" operator="equal">
      <formula>"IVOC"</formula>
    </cfRule>
    <cfRule type="cellIs" dxfId="2" priority="5870" operator="equal">
      <formula>"新增"</formula>
    </cfRule>
    <cfRule type="cellIs" dxfId="13" priority="5868" operator="equal">
      <formula>"优化"</formula>
    </cfRule>
    <cfRule type="cellIs" dxfId="12" priority="5866" operator="equal">
      <formula>"更新"</formula>
    </cfRule>
    <cfRule type="cellIs" dxfId="11" priority="5864" operator="equal">
      <formula>"废弃"</formula>
    </cfRule>
    <cfRule type="cellIs" dxfId="1" priority="5850" operator="equal">
      <formula>"新增"</formula>
    </cfRule>
  </conditionalFormatting>
  <conditionalFormatting sqref="L72">
    <cfRule type="cellIs" dxfId="1" priority="859" operator="equal">
      <formula>"通过"</formula>
    </cfRule>
    <cfRule type="cellIs" dxfId="0" priority="794" operator="equal">
      <formula>"不通过"</formula>
    </cfRule>
    <cfRule type="cellIs" dxfId="8" priority="729" operator="equal">
      <formula>"堵塞"</formula>
    </cfRule>
  </conditionalFormatting>
  <conditionalFormatting sqref="C73">
    <cfRule type="cellIs" dxfId="10" priority="5881" operator="equal">
      <formula>"1级"</formula>
    </cfRule>
    <cfRule type="cellIs" dxfId="2" priority="5879" operator="equal">
      <formula>"2级"</formula>
    </cfRule>
    <cfRule type="cellIs" dxfId="9" priority="5877" operator="equal">
      <formula>"3级"</formula>
    </cfRule>
  </conditionalFormatting>
  <conditionalFormatting sqref="E73">
    <cfRule type="cellIs" dxfId="7" priority="5875" operator="equal">
      <formula>"500/510/IVOC"</formula>
    </cfRule>
    <cfRule type="cellIs" dxfId="6" priority="5873" operator="equal">
      <formula>"500/510"</formula>
    </cfRule>
    <cfRule type="cellIs" dxfId="5" priority="5871" operator="equal">
      <formula>"IVOC"</formula>
    </cfRule>
    <cfRule type="cellIs" dxfId="2" priority="5869" operator="equal">
      <formula>"新增"</formula>
    </cfRule>
    <cfRule type="cellIs" dxfId="13" priority="5867" operator="equal">
      <formula>"优化"</formula>
    </cfRule>
    <cfRule type="cellIs" dxfId="12" priority="5865" operator="equal">
      <formula>"更新"</formula>
    </cfRule>
    <cfRule type="cellIs" dxfId="11" priority="5863" operator="equal">
      <formula>"废弃"</formula>
    </cfRule>
    <cfRule type="cellIs" dxfId="1" priority="5849" operator="equal">
      <formula>"新增"</formula>
    </cfRule>
  </conditionalFormatting>
  <conditionalFormatting sqref="L73">
    <cfRule type="cellIs" dxfId="1" priority="858" operator="equal">
      <formula>"通过"</formula>
    </cfRule>
    <cfRule type="cellIs" dxfId="0" priority="793" operator="equal">
      <formula>"不通过"</formula>
    </cfRule>
    <cfRule type="cellIs" dxfId="8" priority="728" operator="equal">
      <formula>"堵塞"</formula>
    </cfRule>
  </conditionalFormatting>
  <conditionalFormatting sqref="C74">
    <cfRule type="cellIs" dxfId="10" priority="5846" operator="equal">
      <formula>"1级"</formula>
    </cfRule>
    <cfRule type="cellIs" dxfId="2" priority="5844" operator="equal">
      <formula>"2级"</formula>
    </cfRule>
    <cfRule type="cellIs" dxfId="9" priority="5842" operator="equal">
      <formula>"3级"</formula>
    </cfRule>
  </conditionalFormatting>
  <conditionalFormatting sqref="E74">
    <cfRule type="cellIs" dxfId="7" priority="5840" operator="equal">
      <formula>"500/510/IVOC"</formula>
    </cfRule>
    <cfRule type="cellIs" dxfId="6" priority="5838" operator="equal">
      <formula>"500/510"</formula>
    </cfRule>
    <cfRule type="cellIs" dxfId="5" priority="5836" operator="equal">
      <formula>"IVOC"</formula>
    </cfRule>
    <cfRule type="cellIs" dxfId="2" priority="5834" operator="equal">
      <formula>"新增"</formula>
    </cfRule>
    <cfRule type="cellIs" dxfId="13" priority="5832" operator="equal">
      <formula>"优化"</formula>
    </cfRule>
    <cfRule type="cellIs" dxfId="12" priority="5830" operator="equal">
      <formula>"更新"</formula>
    </cfRule>
    <cfRule type="cellIs" dxfId="11" priority="5828" operator="equal">
      <formula>"废弃"</formula>
    </cfRule>
    <cfRule type="cellIs" dxfId="1" priority="5814" operator="equal">
      <formula>"新增"</formula>
    </cfRule>
  </conditionalFormatting>
  <conditionalFormatting sqref="L74">
    <cfRule type="cellIs" dxfId="1" priority="857" operator="equal">
      <formula>"通过"</formula>
    </cfRule>
    <cfRule type="cellIs" dxfId="0" priority="792" operator="equal">
      <formula>"不通过"</formula>
    </cfRule>
    <cfRule type="cellIs" dxfId="8" priority="727" operator="equal">
      <formula>"堵塞"</formula>
    </cfRule>
  </conditionalFormatting>
  <conditionalFormatting sqref="C75">
    <cfRule type="cellIs" dxfId="10" priority="5845" operator="equal">
      <formula>"1级"</formula>
    </cfRule>
    <cfRule type="cellIs" dxfId="2" priority="5843" operator="equal">
      <formula>"2级"</formula>
    </cfRule>
    <cfRule type="cellIs" dxfId="9" priority="5841" operator="equal">
      <formula>"3级"</formula>
    </cfRule>
  </conditionalFormatting>
  <conditionalFormatting sqref="E75">
    <cfRule type="cellIs" dxfId="7" priority="5839" operator="equal">
      <formula>"500/510/IVOC"</formula>
    </cfRule>
    <cfRule type="cellIs" dxfId="6" priority="5837" operator="equal">
      <formula>"500/510"</formula>
    </cfRule>
    <cfRule type="cellIs" dxfId="5" priority="5835" operator="equal">
      <formula>"IVOC"</formula>
    </cfRule>
    <cfRule type="cellIs" dxfId="2" priority="5833" operator="equal">
      <formula>"新增"</formula>
    </cfRule>
    <cfRule type="cellIs" dxfId="13" priority="5831" operator="equal">
      <formula>"优化"</formula>
    </cfRule>
    <cfRule type="cellIs" dxfId="12" priority="5829" operator="equal">
      <formula>"更新"</formula>
    </cfRule>
    <cfRule type="cellIs" dxfId="11" priority="5827" operator="equal">
      <formula>"废弃"</formula>
    </cfRule>
    <cfRule type="cellIs" dxfId="1" priority="5813" operator="equal">
      <formula>"新增"</formula>
    </cfRule>
  </conditionalFormatting>
  <conditionalFormatting sqref="L75">
    <cfRule type="cellIs" dxfId="1" priority="856" operator="equal">
      <formula>"通过"</formula>
    </cfRule>
    <cfRule type="cellIs" dxfId="0" priority="791" operator="equal">
      <formula>"不通过"</formula>
    </cfRule>
    <cfRule type="cellIs" dxfId="8" priority="726" operator="equal">
      <formula>"堵塞"</formula>
    </cfRule>
  </conditionalFormatting>
  <conditionalFormatting sqref="C76">
    <cfRule type="cellIs" dxfId="10" priority="5810" operator="equal">
      <formula>"1级"</formula>
    </cfRule>
    <cfRule type="cellIs" dxfId="2" priority="5808" operator="equal">
      <formula>"2级"</formula>
    </cfRule>
    <cfRule type="cellIs" dxfId="9" priority="5806" operator="equal">
      <formula>"3级"</formula>
    </cfRule>
  </conditionalFormatting>
  <conditionalFormatting sqref="E76">
    <cfRule type="cellIs" dxfId="7" priority="5804" operator="equal">
      <formula>"500/510/IVOC"</formula>
    </cfRule>
    <cfRule type="cellIs" dxfId="6" priority="5802" operator="equal">
      <formula>"500/510"</formula>
    </cfRule>
    <cfRule type="cellIs" dxfId="5" priority="5800" operator="equal">
      <formula>"IVOC"</formula>
    </cfRule>
    <cfRule type="cellIs" dxfId="2" priority="5798" operator="equal">
      <formula>"新增"</formula>
    </cfRule>
    <cfRule type="cellIs" dxfId="13" priority="5796" operator="equal">
      <formula>"优化"</formula>
    </cfRule>
    <cfRule type="cellIs" dxfId="12" priority="5794" operator="equal">
      <formula>"更新"</formula>
    </cfRule>
    <cfRule type="cellIs" dxfId="11" priority="5792" operator="equal">
      <formula>"废弃"</formula>
    </cfRule>
    <cfRule type="cellIs" dxfId="1" priority="5778" operator="equal">
      <formula>"新增"</formula>
    </cfRule>
  </conditionalFormatting>
  <conditionalFormatting sqref="L76">
    <cfRule type="cellIs" dxfId="1" priority="855" operator="equal">
      <formula>"通过"</formula>
    </cfRule>
    <cfRule type="cellIs" dxfId="0" priority="790" operator="equal">
      <formula>"不通过"</formula>
    </cfRule>
    <cfRule type="cellIs" dxfId="8" priority="725" operator="equal">
      <formula>"堵塞"</formula>
    </cfRule>
  </conditionalFormatting>
  <conditionalFormatting sqref="C77">
    <cfRule type="cellIs" dxfId="10" priority="5809" operator="equal">
      <formula>"1级"</formula>
    </cfRule>
    <cfRule type="cellIs" dxfId="2" priority="5807" operator="equal">
      <formula>"2级"</formula>
    </cfRule>
    <cfRule type="cellIs" dxfId="9" priority="5805" operator="equal">
      <formula>"3级"</formula>
    </cfRule>
  </conditionalFormatting>
  <conditionalFormatting sqref="E77">
    <cfRule type="cellIs" dxfId="7" priority="5803" operator="equal">
      <formula>"500/510/IVOC"</formula>
    </cfRule>
    <cfRule type="cellIs" dxfId="6" priority="5801" operator="equal">
      <formula>"500/510"</formula>
    </cfRule>
    <cfRule type="cellIs" dxfId="5" priority="5799" operator="equal">
      <formula>"IVOC"</formula>
    </cfRule>
    <cfRule type="cellIs" dxfId="2" priority="5797" operator="equal">
      <formula>"新增"</formula>
    </cfRule>
    <cfRule type="cellIs" dxfId="13" priority="5795" operator="equal">
      <formula>"优化"</formula>
    </cfRule>
    <cfRule type="cellIs" dxfId="12" priority="5793" operator="equal">
      <formula>"更新"</formula>
    </cfRule>
    <cfRule type="cellIs" dxfId="11" priority="5791" operator="equal">
      <formula>"废弃"</formula>
    </cfRule>
    <cfRule type="cellIs" dxfId="1" priority="5777" operator="equal">
      <formula>"新增"</formula>
    </cfRule>
  </conditionalFormatting>
  <conditionalFormatting sqref="L77">
    <cfRule type="cellIs" dxfId="1" priority="854" operator="equal">
      <formula>"通过"</formula>
    </cfRule>
    <cfRule type="cellIs" dxfId="0" priority="789" operator="equal">
      <formula>"不通过"</formula>
    </cfRule>
    <cfRule type="cellIs" dxfId="8" priority="724" operator="equal">
      <formula>"堵塞"</formula>
    </cfRule>
  </conditionalFormatting>
  <conditionalFormatting sqref="C78">
    <cfRule type="cellIs" dxfId="10" priority="5774" operator="equal">
      <formula>"1级"</formula>
    </cfRule>
    <cfRule type="cellIs" dxfId="2" priority="5772" operator="equal">
      <formula>"2级"</formula>
    </cfRule>
    <cfRule type="cellIs" dxfId="9" priority="5770" operator="equal">
      <formula>"3级"</formula>
    </cfRule>
  </conditionalFormatting>
  <conditionalFormatting sqref="E78">
    <cfRule type="cellIs" dxfId="7" priority="5768" operator="equal">
      <formula>"500/510/IVOC"</formula>
    </cfRule>
    <cfRule type="cellIs" dxfId="6" priority="5766" operator="equal">
      <formula>"500/510"</formula>
    </cfRule>
    <cfRule type="cellIs" dxfId="5" priority="5764" operator="equal">
      <formula>"IVOC"</formula>
    </cfRule>
    <cfRule type="cellIs" dxfId="2" priority="5762" operator="equal">
      <formula>"新增"</formula>
    </cfRule>
    <cfRule type="cellIs" dxfId="13" priority="5760" operator="equal">
      <formula>"优化"</formula>
    </cfRule>
    <cfRule type="cellIs" dxfId="12" priority="5758" operator="equal">
      <formula>"更新"</formula>
    </cfRule>
    <cfRule type="cellIs" dxfId="11" priority="5756" operator="equal">
      <formula>"废弃"</formula>
    </cfRule>
    <cfRule type="cellIs" dxfId="1" priority="5742" operator="equal">
      <formula>"新增"</formula>
    </cfRule>
  </conditionalFormatting>
  <conditionalFormatting sqref="L78">
    <cfRule type="cellIs" dxfId="1" priority="853" operator="equal">
      <formula>"通过"</formula>
    </cfRule>
    <cfRule type="cellIs" dxfId="0" priority="788" operator="equal">
      <formula>"不通过"</formula>
    </cfRule>
    <cfRule type="cellIs" dxfId="8" priority="723" operator="equal">
      <formula>"堵塞"</formula>
    </cfRule>
  </conditionalFormatting>
  <conditionalFormatting sqref="C79">
    <cfRule type="cellIs" dxfId="10" priority="5773" operator="equal">
      <formula>"1级"</formula>
    </cfRule>
    <cfRule type="cellIs" dxfId="2" priority="5771" operator="equal">
      <formula>"2级"</formula>
    </cfRule>
    <cfRule type="cellIs" dxfId="9" priority="5769" operator="equal">
      <formula>"3级"</formula>
    </cfRule>
  </conditionalFormatting>
  <conditionalFormatting sqref="E79">
    <cfRule type="cellIs" dxfId="7" priority="5767" operator="equal">
      <formula>"500/510/IVOC"</formula>
    </cfRule>
    <cfRule type="cellIs" dxfId="6" priority="5765" operator="equal">
      <formula>"500/510"</formula>
    </cfRule>
    <cfRule type="cellIs" dxfId="5" priority="5763" operator="equal">
      <formula>"IVOC"</formula>
    </cfRule>
    <cfRule type="cellIs" dxfId="2" priority="5761" operator="equal">
      <formula>"新增"</formula>
    </cfRule>
    <cfRule type="cellIs" dxfId="13" priority="5759" operator="equal">
      <formula>"优化"</formula>
    </cfRule>
    <cfRule type="cellIs" dxfId="12" priority="5757" operator="equal">
      <formula>"更新"</formula>
    </cfRule>
    <cfRule type="cellIs" dxfId="11" priority="5755" operator="equal">
      <formula>"废弃"</formula>
    </cfRule>
    <cfRule type="cellIs" dxfId="1" priority="5741" operator="equal">
      <formula>"新增"</formula>
    </cfRule>
  </conditionalFormatting>
  <conditionalFormatting sqref="L79">
    <cfRule type="cellIs" dxfId="1" priority="852" operator="equal">
      <formula>"通过"</formula>
    </cfRule>
    <cfRule type="cellIs" dxfId="0" priority="787" operator="equal">
      <formula>"不通过"</formula>
    </cfRule>
    <cfRule type="cellIs" dxfId="8" priority="722" operator="equal">
      <formula>"堵塞"</formula>
    </cfRule>
  </conditionalFormatting>
  <conditionalFormatting sqref="C80">
    <cfRule type="cellIs" dxfId="10" priority="5738" operator="equal">
      <formula>"1级"</formula>
    </cfRule>
    <cfRule type="cellIs" dxfId="2" priority="5736" operator="equal">
      <formula>"2级"</formula>
    </cfRule>
    <cfRule type="cellIs" dxfId="9" priority="5734" operator="equal">
      <formula>"3级"</formula>
    </cfRule>
  </conditionalFormatting>
  <conditionalFormatting sqref="E80">
    <cfRule type="cellIs" dxfId="7" priority="5732" operator="equal">
      <formula>"500/510/IVOC"</formula>
    </cfRule>
    <cfRule type="cellIs" dxfId="6" priority="5730" operator="equal">
      <formula>"500/510"</formula>
    </cfRule>
    <cfRule type="cellIs" dxfId="5" priority="5728" operator="equal">
      <formula>"IVOC"</formula>
    </cfRule>
    <cfRule type="cellIs" dxfId="2" priority="5726" operator="equal">
      <formula>"新增"</formula>
    </cfRule>
    <cfRule type="cellIs" dxfId="13" priority="5724" operator="equal">
      <formula>"优化"</formula>
    </cfRule>
    <cfRule type="cellIs" dxfId="12" priority="5722" operator="equal">
      <formula>"更新"</formula>
    </cfRule>
    <cfRule type="cellIs" dxfId="11" priority="5720" operator="equal">
      <formula>"废弃"</formula>
    </cfRule>
    <cfRule type="cellIs" dxfId="1" priority="5706" operator="equal">
      <formula>"新增"</formula>
    </cfRule>
  </conditionalFormatting>
  <conditionalFormatting sqref="L80">
    <cfRule type="cellIs" dxfId="1" priority="851" operator="equal">
      <formula>"通过"</formula>
    </cfRule>
    <cfRule type="cellIs" dxfId="0" priority="786" operator="equal">
      <formula>"不通过"</formula>
    </cfRule>
    <cfRule type="cellIs" dxfId="8" priority="721" operator="equal">
      <formula>"堵塞"</formula>
    </cfRule>
  </conditionalFormatting>
  <conditionalFormatting sqref="C81">
    <cfRule type="cellIs" dxfId="10" priority="5737" operator="equal">
      <formula>"1级"</formula>
    </cfRule>
    <cfRule type="cellIs" dxfId="2" priority="5735" operator="equal">
      <formula>"2级"</formula>
    </cfRule>
    <cfRule type="cellIs" dxfId="9" priority="5733" operator="equal">
      <formula>"3级"</formula>
    </cfRule>
  </conditionalFormatting>
  <conditionalFormatting sqref="E81">
    <cfRule type="cellIs" dxfId="7" priority="5731" operator="equal">
      <formula>"500/510/IVOC"</formula>
    </cfRule>
    <cfRule type="cellIs" dxfId="6" priority="5729" operator="equal">
      <formula>"500/510"</formula>
    </cfRule>
    <cfRule type="cellIs" dxfId="5" priority="5727" operator="equal">
      <formula>"IVOC"</formula>
    </cfRule>
    <cfRule type="cellIs" dxfId="2" priority="5725" operator="equal">
      <formula>"新增"</formula>
    </cfRule>
    <cfRule type="cellIs" dxfId="13" priority="5723" operator="equal">
      <formula>"优化"</formula>
    </cfRule>
    <cfRule type="cellIs" dxfId="12" priority="5721" operator="equal">
      <formula>"更新"</formula>
    </cfRule>
    <cfRule type="cellIs" dxfId="11" priority="5719" operator="equal">
      <formula>"废弃"</formula>
    </cfRule>
    <cfRule type="cellIs" dxfId="1" priority="5705" operator="equal">
      <formula>"新增"</formula>
    </cfRule>
  </conditionalFormatting>
  <conditionalFormatting sqref="L81">
    <cfRule type="cellIs" dxfId="1" priority="850" operator="equal">
      <formula>"通过"</formula>
    </cfRule>
    <cfRule type="cellIs" dxfId="0" priority="785" operator="equal">
      <formula>"不通过"</formula>
    </cfRule>
    <cfRule type="cellIs" dxfId="8" priority="720" operator="equal">
      <formula>"堵塞"</formula>
    </cfRule>
  </conditionalFormatting>
  <conditionalFormatting sqref="C82">
    <cfRule type="cellIs" dxfId="10" priority="5702" operator="equal">
      <formula>"1级"</formula>
    </cfRule>
    <cfRule type="cellIs" dxfId="2" priority="5700" operator="equal">
      <formula>"2级"</formula>
    </cfRule>
    <cfRule type="cellIs" dxfId="9" priority="5698" operator="equal">
      <formula>"3级"</formula>
    </cfRule>
  </conditionalFormatting>
  <conditionalFormatting sqref="E82">
    <cfRule type="cellIs" dxfId="7" priority="5696" operator="equal">
      <formula>"500/510/IVOC"</formula>
    </cfRule>
    <cfRule type="cellIs" dxfId="6" priority="5694" operator="equal">
      <formula>"500/510"</formula>
    </cfRule>
    <cfRule type="cellIs" dxfId="5" priority="5692" operator="equal">
      <formula>"IVOC"</formula>
    </cfRule>
    <cfRule type="cellIs" dxfId="2" priority="5690" operator="equal">
      <formula>"新增"</formula>
    </cfRule>
    <cfRule type="cellIs" dxfId="13" priority="5688" operator="equal">
      <formula>"优化"</formula>
    </cfRule>
    <cfRule type="cellIs" dxfId="12" priority="5686" operator="equal">
      <formula>"更新"</formula>
    </cfRule>
    <cfRule type="cellIs" dxfId="11" priority="5684" operator="equal">
      <formula>"废弃"</formula>
    </cfRule>
    <cfRule type="cellIs" dxfId="1" priority="5670" operator="equal">
      <formula>"新增"</formula>
    </cfRule>
  </conditionalFormatting>
  <conditionalFormatting sqref="L82">
    <cfRule type="cellIs" dxfId="1" priority="849" operator="equal">
      <formula>"通过"</formula>
    </cfRule>
    <cfRule type="cellIs" dxfId="0" priority="784" operator="equal">
      <formula>"不通过"</formula>
    </cfRule>
    <cfRule type="cellIs" dxfId="8" priority="719" operator="equal">
      <formula>"堵塞"</formula>
    </cfRule>
  </conditionalFormatting>
  <conditionalFormatting sqref="C83">
    <cfRule type="cellIs" dxfId="10" priority="5701" operator="equal">
      <formula>"1级"</formula>
    </cfRule>
    <cfRule type="cellIs" dxfId="2" priority="5699" operator="equal">
      <formula>"2级"</formula>
    </cfRule>
    <cfRule type="cellIs" dxfId="9" priority="5697" operator="equal">
      <formula>"3级"</formula>
    </cfRule>
  </conditionalFormatting>
  <conditionalFormatting sqref="E83">
    <cfRule type="cellIs" dxfId="7" priority="5695" operator="equal">
      <formula>"500/510/IVOC"</formula>
    </cfRule>
    <cfRule type="cellIs" dxfId="6" priority="5693" operator="equal">
      <formula>"500/510"</formula>
    </cfRule>
    <cfRule type="cellIs" dxfId="5" priority="5691" operator="equal">
      <formula>"IVOC"</formula>
    </cfRule>
    <cfRule type="cellIs" dxfId="2" priority="5689" operator="equal">
      <formula>"新增"</formula>
    </cfRule>
    <cfRule type="cellIs" dxfId="13" priority="5687" operator="equal">
      <formula>"优化"</formula>
    </cfRule>
    <cfRule type="cellIs" dxfId="12" priority="5685" operator="equal">
      <formula>"更新"</formula>
    </cfRule>
    <cfRule type="cellIs" dxfId="11" priority="5683" operator="equal">
      <formula>"废弃"</formula>
    </cfRule>
    <cfRule type="cellIs" dxfId="1" priority="5669" operator="equal">
      <formula>"新增"</formula>
    </cfRule>
  </conditionalFormatting>
  <conditionalFormatting sqref="L83">
    <cfRule type="cellIs" dxfId="1" priority="848" operator="equal">
      <formula>"通过"</formula>
    </cfRule>
    <cfRule type="cellIs" dxfId="0" priority="783" operator="equal">
      <formula>"不通过"</formula>
    </cfRule>
    <cfRule type="cellIs" dxfId="8" priority="718" operator="equal">
      <formula>"堵塞"</formula>
    </cfRule>
  </conditionalFormatting>
  <conditionalFormatting sqref="C84">
    <cfRule type="cellIs" dxfId="10" priority="5666" operator="equal">
      <formula>"1级"</formula>
    </cfRule>
    <cfRule type="cellIs" dxfId="2" priority="5664" operator="equal">
      <formula>"2级"</formula>
    </cfRule>
    <cfRule type="cellIs" dxfId="9" priority="5662" operator="equal">
      <formula>"3级"</formula>
    </cfRule>
  </conditionalFormatting>
  <conditionalFormatting sqref="E84">
    <cfRule type="cellIs" dxfId="7" priority="5660" operator="equal">
      <formula>"500/510/IVOC"</formula>
    </cfRule>
    <cfRule type="cellIs" dxfId="6" priority="5658" operator="equal">
      <formula>"500/510"</formula>
    </cfRule>
    <cfRule type="cellIs" dxfId="5" priority="5656" operator="equal">
      <formula>"IVOC"</formula>
    </cfRule>
    <cfRule type="cellIs" dxfId="2" priority="5654" operator="equal">
      <formula>"新增"</formula>
    </cfRule>
    <cfRule type="cellIs" dxfId="13" priority="5652" operator="equal">
      <formula>"优化"</formula>
    </cfRule>
    <cfRule type="cellIs" dxfId="12" priority="5650" operator="equal">
      <formula>"更新"</formula>
    </cfRule>
    <cfRule type="cellIs" dxfId="11" priority="5648" operator="equal">
      <formula>"废弃"</formula>
    </cfRule>
    <cfRule type="cellIs" dxfId="1" priority="5634" operator="equal">
      <formula>"新增"</formula>
    </cfRule>
  </conditionalFormatting>
  <conditionalFormatting sqref="L84">
    <cfRule type="cellIs" dxfId="1" priority="847" operator="equal">
      <formula>"通过"</formula>
    </cfRule>
    <cfRule type="cellIs" dxfId="0" priority="782" operator="equal">
      <formula>"不通过"</formula>
    </cfRule>
    <cfRule type="cellIs" dxfId="8" priority="717" operator="equal">
      <formula>"堵塞"</formula>
    </cfRule>
  </conditionalFormatting>
  <conditionalFormatting sqref="C85">
    <cfRule type="cellIs" dxfId="10" priority="5665" operator="equal">
      <formula>"1级"</formula>
    </cfRule>
    <cfRule type="cellIs" dxfId="2" priority="5663" operator="equal">
      <formula>"2级"</formula>
    </cfRule>
    <cfRule type="cellIs" dxfId="9" priority="5661" operator="equal">
      <formula>"3级"</formula>
    </cfRule>
  </conditionalFormatting>
  <conditionalFormatting sqref="E85">
    <cfRule type="cellIs" dxfId="7" priority="5659" operator="equal">
      <formula>"500/510/IVOC"</formula>
    </cfRule>
    <cfRule type="cellIs" dxfId="6" priority="5657" operator="equal">
      <formula>"500/510"</formula>
    </cfRule>
    <cfRule type="cellIs" dxfId="5" priority="5655" operator="equal">
      <formula>"IVOC"</formula>
    </cfRule>
    <cfRule type="cellIs" dxfId="2" priority="5653" operator="equal">
      <formula>"新增"</formula>
    </cfRule>
    <cfRule type="cellIs" dxfId="13" priority="5651" operator="equal">
      <formula>"优化"</formula>
    </cfRule>
    <cfRule type="cellIs" dxfId="12" priority="5649" operator="equal">
      <formula>"更新"</formula>
    </cfRule>
    <cfRule type="cellIs" dxfId="11" priority="5647" operator="equal">
      <formula>"废弃"</formula>
    </cfRule>
    <cfRule type="cellIs" dxfId="1" priority="5633" operator="equal">
      <formula>"新增"</formula>
    </cfRule>
  </conditionalFormatting>
  <conditionalFormatting sqref="L85">
    <cfRule type="cellIs" dxfId="1" priority="846" operator="equal">
      <formula>"通过"</formula>
    </cfRule>
    <cfRule type="cellIs" dxfId="0" priority="781" operator="equal">
      <formula>"不通过"</formula>
    </cfRule>
    <cfRule type="cellIs" dxfId="8" priority="716" operator="equal">
      <formula>"堵塞"</formula>
    </cfRule>
  </conditionalFormatting>
  <conditionalFormatting sqref="C86">
    <cfRule type="cellIs" dxfId="10" priority="5630" operator="equal">
      <formula>"1级"</formula>
    </cfRule>
    <cfRule type="cellIs" dxfId="2" priority="5628" operator="equal">
      <formula>"2级"</formula>
    </cfRule>
    <cfRule type="cellIs" dxfId="9" priority="5626" operator="equal">
      <formula>"3级"</formula>
    </cfRule>
  </conditionalFormatting>
  <conditionalFormatting sqref="E86">
    <cfRule type="cellIs" dxfId="7" priority="5624" operator="equal">
      <formula>"500/510/IVOC"</formula>
    </cfRule>
    <cfRule type="cellIs" dxfId="6" priority="5622" operator="equal">
      <formula>"500/510"</formula>
    </cfRule>
    <cfRule type="cellIs" dxfId="5" priority="5620" operator="equal">
      <formula>"IVOC"</formula>
    </cfRule>
    <cfRule type="cellIs" dxfId="2" priority="5618" operator="equal">
      <formula>"新增"</formula>
    </cfRule>
    <cfRule type="cellIs" dxfId="13" priority="5616" operator="equal">
      <formula>"优化"</formula>
    </cfRule>
    <cfRule type="cellIs" dxfId="12" priority="5614" operator="equal">
      <formula>"更新"</formula>
    </cfRule>
    <cfRule type="cellIs" dxfId="11" priority="5612" operator="equal">
      <formula>"废弃"</formula>
    </cfRule>
    <cfRule type="cellIs" dxfId="1" priority="5598" operator="equal">
      <formula>"新增"</formula>
    </cfRule>
  </conditionalFormatting>
  <conditionalFormatting sqref="L86">
    <cfRule type="cellIs" dxfId="1" priority="845" operator="equal">
      <formula>"通过"</formula>
    </cfRule>
    <cfRule type="cellIs" dxfId="0" priority="780" operator="equal">
      <formula>"不通过"</formula>
    </cfRule>
    <cfRule type="cellIs" dxfId="8" priority="715" operator="equal">
      <formula>"堵塞"</formula>
    </cfRule>
  </conditionalFormatting>
  <conditionalFormatting sqref="C87">
    <cfRule type="cellIs" dxfId="10" priority="5629" operator="equal">
      <formula>"1级"</formula>
    </cfRule>
    <cfRule type="cellIs" dxfId="2" priority="5627" operator="equal">
      <formula>"2级"</formula>
    </cfRule>
    <cfRule type="cellIs" dxfId="9" priority="5625" operator="equal">
      <formula>"3级"</formula>
    </cfRule>
  </conditionalFormatting>
  <conditionalFormatting sqref="E87">
    <cfRule type="cellIs" dxfId="7" priority="5623" operator="equal">
      <formula>"500/510/IVOC"</formula>
    </cfRule>
    <cfRule type="cellIs" dxfId="6" priority="5621" operator="equal">
      <formula>"500/510"</formula>
    </cfRule>
    <cfRule type="cellIs" dxfId="5" priority="5619" operator="equal">
      <formula>"IVOC"</formula>
    </cfRule>
    <cfRule type="cellIs" dxfId="2" priority="5617" operator="equal">
      <formula>"新增"</formula>
    </cfRule>
    <cfRule type="cellIs" dxfId="13" priority="5615" operator="equal">
      <formula>"优化"</formula>
    </cfRule>
    <cfRule type="cellIs" dxfId="12" priority="5613" operator="equal">
      <formula>"更新"</formula>
    </cfRule>
    <cfRule type="cellIs" dxfId="11" priority="5611" operator="equal">
      <formula>"废弃"</formula>
    </cfRule>
    <cfRule type="cellIs" dxfId="1" priority="5597" operator="equal">
      <formula>"新增"</formula>
    </cfRule>
  </conditionalFormatting>
  <conditionalFormatting sqref="L87">
    <cfRule type="cellIs" dxfId="1" priority="844" operator="equal">
      <formula>"通过"</formula>
    </cfRule>
    <cfRule type="cellIs" dxfId="0" priority="779" operator="equal">
      <formula>"不通过"</formula>
    </cfRule>
    <cfRule type="cellIs" dxfId="8" priority="714" operator="equal">
      <formula>"堵塞"</formula>
    </cfRule>
  </conditionalFormatting>
  <conditionalFormatting sqref="C88">
    <cfRule type="cellIs" dxfId="10" priority="5594" operator="equal">
      <formula>"1级"</formula>
    </cfRule>
    <cfRule type="cellIs" dxfId="2" priority="5592" operator="equal">
      <formula>"2级"</formula>
    </cfRule>
    <cfRule type="cellIs" dxfId="9" priority="5590" operator="equal">
      <formula>"3级"</formula>
    </cfRule>
  </conditionalFormatting>
  <conditionalFormatting sqref="E88">
    <cfRule type="cellIs" dxfId="7" priority="5588" operator="equal">
      <formula>"500/510/IVOC"</formula>
    </cfRule>
    <cfRule type="cellIs" dxfId="6" priority="5586" operator="equal">
      <formula>"500/510"</formula>
    </cfRule>
    <cfRule type="cellIs" dxfId="5" priority="5584" operator="equal">
      <formula>"IVOC"</formula>
    </cfRule>
    <cfRule type="cellIs" dxfId="2" priority="5582" operator="equal">
      <formula>"新增"</formula>
    </cfRule>
    <cfRule type="cellIs" dxfId="13" priority="5580" operator="equal">
      <formula>"优化"</formula>
    </cfRule>
    <cfRule type="cellIs" dxfId="12" priority="5578" operator="equal">
      <formula>"更新"</formula>
    </cfRule>
    <cfRule type="cellIs" dxfId="11" priority="5576" operator="equal">
      <formula>"废弃"</formula>
    </cfRule>
    <cfRule type="cellIs" dxfId="1" priority="5562" operator="equal">
      <formula>"新增"</formula>
    </cfRule>
  </conditionalFormatting>
  <conditionalFormatting sqref="L88">
    <cfRule type="cellIs" dxfId="1" priority="843" operator="equal">
      <formula>"通过"</formula>
    </cfRule>
    <cfRule type="cellIs" dxfId="0" priority="778" operator="equal">
      <formula>"不通过"</formula>
    </cfRule>
    <cfRule type="cellIs" dxfId="8" priority="713" operator="equal">
      <formula>"堵塞"</formula>
    </cfRule>
  </conditionalFormatting>
  <conditionalFormatting sqref="C89">
    <cfRule type="cellIs" dxfId="10" priority="5593" operator="equal">
      <formula>"1级"</formula>
    </cfRule>
    <cfRule type="cellIs" dxfId="2" priority="5591" operator="equal">
      <formula>"2级"</formula>
    </cfRule>
    <cfRule type="cellIs" dxfId="9" priority="5589" operator="equal">
      <formula>"3级"</formula>
    </cfRule>
  </conditionalFormatting>
  <conditionalFormatting sqref="E89">
    <cfRule type="cellIs" dxfId="7" priority="5587" operator="equal">
      <formula>"500/510/IVOC"</formula>
    </cfRule>
    <cfRule type="cellIs" dxfId="6" priority="5585" operator="equal">
      <formula>"500/510"</formula>
    </cfRule>
    <cfRule type="cellIs" dxfId="5" priority="5583" operator="equal">
      <formula>"IVOC"</formula>
    </cfRule>
    <cfRule type="cellIs" dxfId="2" priority="5581" operator="equal">
      <formula>"新增"</formula>
    </cfRule>
    <cfRule type="cellIs" dxfId="13" priority="5579" operator="equal">
      <formula>"优化"</formula>
    </cfRule>
    <cfRule type="cellIs" dxfId="12" priority="5577" operator="equal">
      <formula>"更新"</formula>
    </cfRule>
    <cfRule type="cellIs" dxfId="11" priority="5575" operator="equal">
      <formula>"废弃"</formula>
    </cfRule>
    <cfRule type="cellIs" dxfId="1" priority="5561" operator="equal">
      <formula>"新增"</formula>
    </cfRule>
  </conditionalFormatting>
  <conditionalFormatting sqref="L89">
    <cfRule type="cellIs" dxfId="1" priority="842" operator="equal">
      <formula>"通过"</formula>
    </cfRule>
    <cfRule type="cellIs" dxfId="0" priority="777" operator="equal">
      <formula>"不通过"</formula>
    </cfRule>
    <cfRule type="cellIs" dxfId="8" priority="712" operator="equal">
      <formula>"堵塞"</formula>
    </cfRule>
  </conditionalFormatting>
  <conditionalFormatting sqref="C90">
    <cfRule type="cellIs" dxfId="10" priority="5558" operator="equal">
      <formula>"1级"</formula>
    </cfRule>
    <cfRule type="cellIs" dxfId="2" priority="5556" operator="equal">
      <formula>"2级"</formula>
    </cfRule>
    <cfRule type="cellIs" dxfId="9" priority="5554" operator="equal">
      <formula>"3级"</formula>
    </cfRule>
  </conditionalFormatting>
  <conditionalFormatting sqref="E90">
    <cfRule type="cellIs" dxfId="7" priority="5552" operator="equal">
      <formula>"500/510/IVOC"</formula>
    </cfRule>
    <cfRule type="cellIs" dxfId="6" priority="5550" operator="equal">
      <formula>"500/510"</formula>
    </cfRule>
    <cfRule type="cellIs" dxfId="5" priority="5548" operator="equal">
      <formula>"IVOC"</formula>
    </cfRule>
    <cfRule type="cellIs" dxfId="2" priority="5546" operator="equal">
      <formula>"新增"</formula>
    </cfRule>
    <cfRule type="cellIs" dxfId="13" priority="5544" operator="equal">
      <formula>"优化"</formula>
    </cfRule>
    <cfRule type="cellIs" dxfId="12" priority="5542" operator="equal">
      <formula>"更新"</formula>
    </cfRule>
    <cfRule type="cellIs" dxfId="11" priority="5540" operator="equal">
      <formula>"废弃"</formula>
    </cfRule>
    <cfRule type="cellIs" dxfId="1" priority="5526" operator="equal">
      <formula>"新增"</formula>
    </cfRule>
  </conditionalFormatting>
  <conditionalFormatting sqref="L90">
    <cfRule type="cellIs" dxfId="1" priority="841" operator="equal">
      <formula>"通过"</formula>
    </cfRule>
    <cfRule type="cellIs" dxfId="0" priority="776" operator="equal">
      <formula>"不通过"</formula>
    </cfRule>
    <cfRule type="cellIs" dxfId="8" priority="711" operator="equal">
      <formula>"堵塞"</formula>
    </cfRule>
  </conditionalFormatting>
  <conditionalFormatting sqref="C91">
    <cfRule type="cellIs" dxfId="10" priority="5557" operator="equal">
      <formula>"1级"</formula>
    </cfRule>
    <cfRule type="cellIs" dxfId="2" priority="5555" operator="equal">
      <formula>"2级"</formula>
    </cfRule>
    <cfRule type="cellIs" dxfId="9" priority="5553" operator="equal">
      <formula>"3级"</formula>
    </cfRule>
  </conditionalFormatting>
  <conditionalFormatting sqref="E91">
    <cfRule type="cellIs" dxfId="7" priority="5551" operator="equal">
      <formula>"500/510/IVOC"</formula>
    </cfRule>
    <cfRule type="cellIs" dxfId="6" priority="5549" operator="equal">
      <formula>"500/510"</formula>
    </cfRule>
    <cfRule type="cellIs" dxfId="5" priority="5547" operator="equal">
      <formula>"IVOC"</formula>
    </cfRule>
    <cfRule type="cellIs" dxfId="2" priority="5545" operator="equal">
      <formula>"新增"</formula>
    </cfRule>
    <cfRule type="cellIs" dxfId="13" priority="5543" operator="equal">
      <formula>"优化"</formula>
    </cfRule>
    <cfRule type="cellIs" dxfId="12" priority="5541" operator="equal">
      <formula>"更新"</formula>
    </cfRule>
    <cfRule type="cellIs" dxfId="11" priority="5539" operator="equal">
      <formula>"废弃"</formula>
    </cfRule>
    <cfRule type="cellIs" dxfId="1" priority="5525" operator="equal">
      <formula>"新增"</formula>
    </cfRule>
  </conditionalFormatting>
  <conditionalFormatting sqref="L91">
    <cfRule type="cellIs" dxfId="1" priority="840" operator="equal">
      <formula>"通过"</formula>
    </cfRule>
    <cfRule type="cellIs" dxfId="0" priority="775" operator="equal">
      <formula>"不通过"</formula>
    </cfRule>
    <cfRule type="cellIs" dxfId="8" priority="710" operator="equal">
      <formula>"堵塞"</formula>
    </cfRule>
  </conditionalFormatting>
  <conditionalFormatting sqref="C92">
    <cfRule type="cellIs" dxfId="10" priority="5522" operator="equal">
      <formula>"1级"</formula>
    </cfRule>
    <cfRule type="cellIs" dxfId="2" priority="5520" operator="equal">
      <formula>"2级"</formula>
    </cfRule>
    <cfRule type="cellIs" dxfId="9" priority="5518" operator="equal">
      <formula>"3级"</formula>
    </cfRule>
  </conditionalFormatting>
  <conditionalFormatting sqref="E92">
    <cfRule type="cellIs" dxfId="7" priority="5516" operator="equal">
      <formula>"500/510/IVOC"</formula>
    </cfRule>
    <cfRule type="cellIs" dxfId="6" priority="5514" operator="equal">
      <formula>"500/510"</formula>
    </cfRule>
    <cfRule type="cellIs" dxfId="5" priority="5512" operator="equal">
      <formula>"IVOC"</formula>
    </cfRule>
    <cfRule type="cellIs" dxfId="2" priority="5510" operator="equal">
      <formula>"新增"</formula>
    </cfRule>
    <cfRule type="cellIs" dxfId="13" priority="5508" operator="equal">
      <formula>"优化"</formula>
    </cfRule>
    <cfRule type="cellIs" dxfId="12" priority="5506" operator="equal">
      <formula>"更新"</formula>
    </cfRule>
    <cfRule type="cellIs" dxfId="11" priority="5504" operator="equal">
      <formula>"废弃"</formula>
    </cfRule>
    <cfRule type="cellIs" dxfId="1" priority="5490" operator="equal">
      <formula>"新增"</formula>
    </cfRule>
  </conditionalFormatting>
  <conditionalFormatting sqref="L92">
    <cfRule type="cellIs" dxfId="1" priority="839" operator="equal">
      <formula>"通过"</formula>
    </cfRule>
    <cfRule type="cellIs" dxfId="0" priority="774" operator="equal">
      <formula>"不通过"</formula>
    </cfRule>
    <cfRule type="cellIs" dxfId="8" priority="709" operator="equal">
      <formula>"堵塞"</formula>
    </cfRule>
  </conditionalFormatting>
  <conditionalFormatting sqref="C93">
    <cfRule type="cellIs" dxfId="10" priority="5521" operator="equal">
      <formula>"1级"</formula>
    </cfRule>
    <cfRule type="cellIs" dxfId="2" priority="5519" operator="equal">
      <formula>"2级"</formula>
    </cfRule>
    <cfRule type="cellIs" dxfId="9" priority="5517" operator="equal">
      <formula>"3级"</formula>
    </cfRule>
  </conditionalFormatting>
  <conditionalFormatting sqref="E93">
    <cfRule type="cellIs" dxfId="7" priority="5515" operator="equal">
      <formula>"500/510/IVOC"</formula>
    </cfRule>
    <cfRule type="cellIs" dxfId="6" priority="5513" operator="equal">
      <formula>"500/510"</formula>
    </cfRule>
    <cfRule type="cellIs" dxfId="5" priority="5511" operator="equal">
      <formula>"IVOC"</formula>
    </cfRule>
    <cfRule type="cellIs" dxfId="2" priority="5509" operator="equal">
      <formula>"新增"</formula>
    </cfRule>
    <cfRule type="cellIs" dxfId="13" priority="5507" operator="equal">
      <formula>"优化"</formula>
    </cfRule>
    <cfRule type="cellIs" dxfId="12" priority="5505" operator="equal">
      <formula>"更新"</formula>
    </cfRule>
    <cfRule type="cellIs" dxfId="11" priority="5503" operator="equal">
      <formula>"废弃"</formula>
    </cfRule>
    <cfRule type="cellIs" dxfId="1" priority="5489" operator="equal">
      <formula>"新增"</formula>
    </cfRule>
  </conditionalFormatting>
  <conditionalFormatting sqref="L93">
    <cfRule type="cellIs" dxfId="1" priority="838" operator="equal">
      <formula>"通过"</formula>
    </cfRule>
    <cfRule type="cellIs" dxfId="0" priority="773" operator="equal">
      <formula>"不通过"</formula>
    </cfRule>
    <cfRule type="cellIs" dxfId="8" priority="708" operator="equal">
      <formula>"堵塞"</formula>
    </cfRule>
  </conditionalFormatting>
  <conditionalFormatting sqref="C94">
    <cfRule type="cellIs" dxfId="10" priority="5486" operator="equal">
      <formula>"1级"</formula>
    </cfRule>
    <cfRule type="cellIs" dxfId="2" priority="5484" operator="equal">
      <formula>"2级"</formula>
    </cfRule>
    <cfRule type="cellIs" dxfId="9" priority="5482" operator="equal">
      <formula>"3级"</formula>
    </cfRule>
  </conditionalFormatting>
  <conditionalFormatting sqref="E94">
    <cfRule type="cellIs" dxfId="7" priority="5480" operator="equal">
      <formula>"500/510/IVOC"</formula>
    </cfRule>
    <cfRule type="cellIs" dxfId="6" priority="5478" operator="equal">
      <formula>"500/510"</formula>
    </cfRule>
    <cfRule type="cellIs" dxfId="5" priority="5476" operator="equal">
      <formula>"IVOC"</formula>
    </cfRule>
    <cfRule type="cellIs" dxfId="2" priority="5474" operator="equal">
      <formula>"新增"</formula>
    </cfRule>
    <cfRule type="cellIs" dxfId="13" priority="5472" operator="equal">
      <formula>"优化"</formula>
    </cfRule>
    <cfRule type="cellIs" dxfId="12" priority="5470" operator="equal">
      <formula>"更新"</formula>
    </cfRule>
    <cfRule type="cellIs" dxfId="11" priority="5468" operator="equal">
      <formula>"废弃"</formula>
    </cfRule>
    <cfRule type="cellIs" dxfId="1" priority="5454" operator="equal">
      <formula>"新增"</formula>
    </cfRule>
  </conditionalFormatting>
  <conditionalFormatting sqref="L94">
    <cfRule type="cellIs" dxfId="1" priority="837" operator="equal">
      <formula>"通过"</formula>
    </cfRule>
    <cfRule type="cellIs" dxfId="0" priority="772" operator="equal">
      <formula>"不通过"</formula>
    </cfRule>
    <cfRule type="cellIs" dxfId="8" priority="707" operator="equal">
      <formula>"堵塞"</formula>
    </cfRule>
  </conditionalFormatting>
  <conditionalFormatting sqref="C95">
    <cfRule type="cellIs" dxfId="10" priority="5485" operator="equal">
      <formula>"1级"</formula>
    </cfRule>
    <cfRule type="cellIs" dxfId="2" priority="5483" operator="equal">
      <formula>"2级"</formula>
    </cfRule>
    <cfRule type="cellIs" dxfId="9" priority="5481" operator="equal">
      <formula>"3级"</formula>
    </cfRule>
  </conditionalFormatting>
  <conditionalFormatting sqref="E95">
    <cfRule type="cellIs" dxfId="7" priority="5479" operator="equal">
      <formula>"500/510/IVOC"</formula>
    </cfRule>
    <cfRule type="cellIs" dxfId="6" priority="5477" operator="equal">
      <formula>"500/510"</formula>
    </cfRule>
    <cfRule type="cellIs" dxfId="5" priority="5475" operator="equal">
      <formula>"IVOC"</formula>
    </cfRule>
    <cfRule type="cellIs" dxfId="2" priority="5473" operator="equal">
      <formula>"新增"</formula>
    </cfRule>
    <cfRule type="cellIs" dxfId="13" priority="5471" operator="equal">
      <formula>"优化"</formula>
    </cfRule>
    <cfRule type="cellIs" dxfId="12" priority="5469" operator="equal">
      <formula>"更新"</formula>
    </cfRule>
    <cfRule type="cellIs" dxfId="11" priority="5467" operator="equal">
      <formula>"废弃"</formula>
    </cfRule>
    <cfRule type="cellIs" dxfId="1" priority="5453" operator="equal">
      <formula>"新增"</formula>
    </cfRule>
  </conditionalFormatting>
  <conditionalFormatting sqref="L95">
    <cfRule type="cellIs" dxfId="1" priority="836" operator="equal">
      <formula>"通过"</formula>
    </cfRule>
    <cfRule type="cellIs" dxfId="0" priority="771" operator="equal">
      <formula>"不通过"</formula>
    </cfRule>
    <cfRule type="cellIs" dxfId="8" priority="706" operator="equal">
      <formula>"堵塞"</formula>
    </cfRule>
  </conditionalFormatting>
  <conditionalFormatting sqref="C96">
    <cfRule type="cellIs" dxfId="10" priority="5450" operator="equal">
      <formula>"1级"</formula>
    </cfRule>
    <cfRule type="cellIs" dxfId="2" priority="5448" operator="equal">
      <formula>"2级"</formula>
    </cfRule>
    <cfRule type="cellIs" dxfId="9" priority="5446" operator="equal">
      <formula>"3级"</formula>
    </cfRule>
  </conditionalFormatting>
  <conditionalFormatting sqref="E96">
    <cfRule type="cellIs" dxfId="7" priority="5444" operator="equal">
      <formula>"500/510/IVOC"</formula>
    </cfRule>
    <cfRule type="cellIs" dxfId="6" priority="5442" operator="equal">
      <formula>"500/510"</formula>
    </cfRule>
    <cfRule type="cellIs" dxfId="5" priority="5440" operator="equal">
      <formula>"IVOC"</formula>
    </cfRule>
    <cfRule type="cellIs" dxfId="2" priority="5438" operator="equal">
      <formula>"新增"</formula>
    </cfRule>
    <cfRule type="cellIs" dxfId="13" priority="5436" operator="equal">
      <formula>"优化"</formula>
    </cfRule>
    <cfRule type="cellIs" dxfId="12" priority="5434" operator="equal">
      <formula>"更新"</formula>
    </cfRule>
    <cfRule type="cellIs" dxfId="11" priority="5432" operator="equal">
      <formula>"废弃"</formula>
    </cfRule>
    <cfRule type="cellIs" dxfId="1" priority="5418" operator="equal">
      <formula>"新增"</formula>
    </cfRule>
  </conditionalFormatting>
  <conditionalFormatting sqref="L96">
    <cfRule type="cellIs" dxfId="1" priority="835" operator="equal">
      <formula>"通过"</formula>
    </cfRule>
    <cfRule type="cellIs" dxfId="0" priority="770" operator="equal">
      <formula>"不通过"</formula>
    </cfRule>
    <cfRule type="cellIs" dxfId="8" priority="705" operator="equal">
      <formula>"堵塞"</formula>
    </cfRule>
  </conditionalFormatting>
  <conditionalFormatting sqref="C97">
    <cfRule type="cellIs" dxfId="10" priority="5449" operator="equal">
      <formula>"1级"</formula>
    </cfRule>
    <cfRule type="cellIs" dxfId="2" priority="5447" operator="equal">
      <formula>"2级"</formula>
    </cfRule>
    <cfRule type="cellIs" dxfId="9" priority="5445" operator="equal">
      <formula>"3级"</formula>
    </cfRule>
  </conditionalFormatting>
  <conditionalFormatting sqref="E97">
    <cfRule type="cellIs" dxfId="7" priority="5443" operator="equal">
      <formula>"500/510/IVOC"</formula>
    </cfRule>
    <cfRule type="cellIs" dxfId="6" priority="5441" operator="equal">
      <formula>"500/510"</formula>
    </cfRule>
    <cfRule type="cellIs" dxfId="5" priority="5439" operator="equal">
      <formula>"IVOC"</formula>
    </cfRule>
    <cfRule type="cellIs" dxfId="2" priority="5437" operator="equal">
      <formula>"新增"</formula>
    </cfRule>
    <cfRule type="cellIs" dxfId="13" priority="5435" operator="equal">
      <formula>"优化"</formula>
    </cfRule>
    <cfRule type="cellIs" dxfId="12" priority="5433" operator="equal">
      <formula>"更新"</formula>
    </cfRule>
    <cfRule type="cellIs" dxfId="11" priority="5431" operator="equal">
      <formula>"废弃"</formula>
    </cfRule>
    <cfRule type="cellIs" dxfId="1" priority="5417" operator="equal">
      <formula>"新增"</formula>
    </cfRule>
  </conditionalFormatting>
  <conditionalFormatting sqref="L97">
    <cfRule type="cellIs" dxfId="1" priority="834" operator="equal">
      <formula>"通过"</formula>
    </cfRule>
    <cfRule type="cellIs" dxfId="0" priority="769" operator="equal">
      <formula>"不通过"</formula>
    </cfRule>
    <cfRule type="cellIs" dxfId="8" priority="704" operator="equal">
      <formula>"堵塞"</formula>
    </cfRule>
  </conditionalFormatting>
  <conditionalFormatting sqref="C98">
    <cfRule type="cellIs" dxfId="10" priority="5414" operator="equal">
      <formula>"1级"</formula>
    </cfRule>
    <cfRule type="cellIs" dxfId="2" priority="5412" operator="equal">
      <formula>"2级"</formula>
    </cfRule>
    <cfRule type="cellIs" dxfId="9" priority="5410" operator="equal">
      <formula>"3级"</formula>
    </cfRule>
  </conditionalFormatting>
  <conditionalFormatting sqref="E98">
    <cfRule type="cellIs" dxfId="7" priority="5408" operator="equal">
      <formula>"500/510/IVOC"</formula>
    </cfRule>
    <cfRule type="cellIs" dxfId="6" priority="5406" operator="equal">
      <formula>"500/510"</formula>
    </cfRule>
    <cfRule type="cellIs" dxfId="5" priority="5404" operator="equal">
      <formula>"IVOC"</formula>
    </cfRule>
    <cfRule type="cellIs" dxfId="2" priority="5402" operator="equal">
      <formula>"新增"</formula>
    </cfRule>
    <cfRule type="cellIs" dxfId="13" priority="5400" operator="equal">
      <formula>"优化"</formula>
    </cfRule>
    <cfRule type="cellIs" dxfId="12" priority="5398" operator="equal">
      <formula>"更新"</formula>
    </cfRule>
    <cfRule type="cellIs" dxfId="11" priority="5396" operator="equal">
      <formula>"废弃"</formula>
    </cfRule>
    <cfRule type="cellIs" dxfId="1" priority="5382" operator="equal">
      <formula>"新增"</formula>
    </cfRule>
  </conditionalFormatting>
  <conditionalFormatting sqref="L98">
    <cfRule type="cellIs" dxfId="1" priority="833" operator="equal">
      <formula>"通过"</formula>
    </cfRule>
    <cfRule type="cellIs" dxfId="0" priority="768" operator="equal">
      <formula>"不通过"</formula>
    </cfRule>
    <cfRule type="cellIs" dxfId="8" priority="703" operator="equal">
      <formula>"堵塞"</formula>
    </cfRule>
  </conditionalFormatting>
  <conditionalFormatting sqref="C99">
    <cfRule type="cellIs" dxfId="10" priority="5413" operator="equal">
      <formula>"1级"</formula>
    </cfRule>
    <cfRule type="cellIs" dxfId="2" priority="5411" operator="equal">
      <formula>"2级"</formula>
    </cfRule>
    <cfRule type="cellIs" dxfId="9" priority="5409" operator="equal">
      <formula>"3级"</formula>
    </cfRule>
  </conditionalFormatting>
  <conditionalFormatting sqref="E99">
    <cfRule type="cellIs" dxfId="7" priority="5407" operator="equal">
      <formula>"500/510/IVOC"</formula>
    </cfRule>
    <cfRule type="cellIs" dxfId="6" priority="5405" operator="equal">
      <formula>"500/510"</formula>
    </cfRule>
    <cfRule type="cellIs" dxfId="5" priority="5403" operator="equal">
      <formula>"IVOC"</formula>
    </cfRule>
    <cfRule type="cellIs" dxfId="2" priority="5401" operator="equal">
      <formula>"新增"</formula>
    </cfRule>
    <cfRule type="cellIs" dxfId="13" priority="5399" operator="equal">
      <formula>"优化"</formula>
    </cfRule>
    <cfRule type="cellIs" dxfId="12" priority="5397" operator="equal">
      <formula>"更新"</formula>
    </cfRule>
    <cfRule type="cellIs" dxfId="11" priority="5395" operator="equal">
      <formula>"废弃"</formula>
    </cfRule>
    <cfRule type="cellIs" dxfId="1" priority="5381" operator="equal">
      <formula>"新增"</formula>
    </cfRule>
  </conditionalFormatting>
  <conditionalFormatting sqref="L99">
    <cfRule type="cellIs" dxfId="1" priority="832" operator="equal">
      <formula>"通过"</formula>
    </cfRule>
    <cfRule type="cellIs" dxfId="0" priority="767" operator="equal">
      <formula>"不通过"</formula>
    </cfRule>
    <cfRule type="cellIs" dxfId="8" priority="702" operator="equal">
      <formula>"堵塞"</formula>
    </cfRule>
  </conditionalFormatting>
  <conditionalFormatting sqref="C100">
    <cfRule type="cellIs" dxfId="10" priority="5378" operator="equal">
      <formula>"1级"</formula>
    </cfRule>
    <cfRule type="cellIs" dxfId="2" priority="5376" operator="equal">
      <formula>"2级"</formula>
    </cfRule>
    <cfRule type="cellIs" dxfId="9" priority="5374" operator="equal">
      <formula>"3级"</formula>
    </cfRule>
  </conditionalFormatting>
  <conditionalFormatting sqref="E100">
    <cfRule type="cellIs" dxfId="7" priority="5372" operator="equal">
      <formula>"500/510/IVOC"</formula>
    </cfRule>
    <cfRule type="cellIs" dxfId="6" priority="5370" operator="equal">
      <formula>"500/510"</formula>
    </cfRule>
    <cfRule type="cellIs" dxfId="5" priority="5368" operator="equal">
      <formula>"IVOC"</formula>
    </cfRule>
    <cfRule type="cellIs" dxfId="2" priority="5366" operator="equal">
      <formula>"新增"</formula>
    </cfRule>
    <cfRule type="cellIs" dxfId="13" priority="5364" operator="equal">
      <formula>"优化"</formula>
    </cfRule>
    <cfRule type="cellIs" dxfId="12" priority="5362" operator="equal">
      <formula>"更新"</formula>
    </cfRule>
    <cfRule type="cellIs" dxfId="11" priority="5360" operator="equal">
      <formula>"废弃"</formula>
    </cfRule>
    <cfRule type="cellIs" dxfId="1" priority="5346" operator="equal">
      <formula>"新增"</formula>
    </cfRule>
  </conditionalFormatting>
  <conditionalFormatting sqref="L100">
    <cfRule type="cellIs" dxfId="1" priority="831" operator="equal">
      <formula>"通过"</formula>
    </cfRule>
    <cfRule type="cellIs" dxfId="0" priority="766" operator="equal">
      <formula>"不通过"</formula>
    </cfRule>
    <cfRule type="cellIs" dxfId="8" priority="701" operator="equal">
      <formula>"堵塞"</formula>
    </cfRule>
  </conditionalFormatting>
  <conditionalFormatting sqref="C101">
    <cfRule type="cellIs" dxfId="10" priority="5377" operator="equal">
      <formula>"1级"</formula>
    </cfRule>
    <cfRule type="cellIs" dxfId="2" priority="5375" operator="equal">
      <formula>"2级"</formula>
    </cfRule>
    <cfRule type="cellIs" dxfId="9" priority="5373" operator="equal">
      <formula>"3级"</formula>
    </cfRule>
  </conditionalFormatting>
  <conditionalFormatting sqref="E101">
    <cfRule type="cellIs" dxfId="7" priority="5371" operator="equal">
      <formula>"500/510/IVOC"</formula>
    </cfRule>
    <cfRule type="cellIs" dxfId="6" priority="5369" operator="equal">
      <formula>"500/510"</formula>
    </cfRule>
    <cfRule type="cellIs" dxfId="5" priority="5367" operator="equal">
      <formula>"IVOC"</formula>
    </cfRule>
    <cfRule type="cellIs" dxfId="2" priority="5365" operator="equal">
      <formula>"新增"</formula>
    </cfRule>
    <cfRule type="cellIs" dxfId="13" priority="5363" operator="equal">
      <formula>"优化"</formula>
    </cfRule>
    <cfRule type="cellIs" dxfId="12" priority="5361" operator="equal">
      <formula>"更新"</formula>
    </cfRule>
    <cfRule type="cellIs" dxfId="11" priority="5359" operator="equal">
      <formula>"废弃"</formula>
    </cfRule>
    <cfRule type="cellIs" dxfId="1" priority="5345" operator="equal">
      <formula>"新增"</formula>
    </cfRule>
  </conditionalFormatting>
  <conditionalFormatting sqref="L101">
    <cfRule type="cellIs" dxfId="1" priority="830" operator="equal">
      <formula>"通过"</formula>
    </cfRule>
    <cfRule type="cellIs" dxfId="0" priority="765" operator="equal">
      <formula>"不通过"</formula>
    </cfRule>
    <cfRule type="cellIs" dxfId="8" priority="700" operator="equal">
      <formula>"堵塞"</formula>
    </cfRule>
  </conditionalFormatting>
  <conditionalFormatting sqref="C102">
    <cfRule type="cellIs" dxfId="10" priority="5342" operator="equal">
      <formula>"1级"</formula>
    </cfRule>
    <cfRule type="cellIs" dxfId="2" priority="5340" operator="equal">
      <formula>"2级"</formula>
    </cfRule>
    <cfRule type="cellIs" dxfId="9" priority="5338" operator="equal">
      <formula>"3级"</formula>
    </cfRule>
  </conditionalFormatting>
  <conditionalFormatting sqref="E102">
    <cfRule type="cellIs" dxfId="7" priority="5336" operator="equal">
      <formula>"500/510/IVOC"</formula>
    </cfRule>
    <cfRule type="cellIs" dxfId="6" priority="5334" operator="equal">
      <formula>"500/510"</formula>
    </cfRule>
    <cfRule type="cellIs" dxfId="5" priority="5332" operator="equal">
      <formula>"IVOC"</formula>
    </cfRule>
    <cfRule type="cellIs" dxfId="2" priority="5330" operator="equal">
      <formula>"新增"</formula>
    </cfRule>
    <cfRule type="cellIs" dxfId="13" priority="5328" operator="equal">
      <formula>"优化"</formula>
    </cfRule>
    <cfRule type="cellIs" dxfId="12" priority="5326" operator="equal">
      <formula>"更新"</formula>
    </cfRule>
    <cfRule type="cellIs" dxfId="11" priority="5324" operator="equal">
      <formula>"废弃"</formula>
    </cfRule>
    <cfRule type="cellIs" dxfId="1" priority="5310" operator="equal">
      <formula>"新增"</formula>
    </cfRule>
  </conditionalFormatting>
  <conditionalFormatting sqref="L102">
    <cfRule type="cellIs" dxfId="1" priority="829" operator="equal">
      <formula>"通过"</formula>
    </cfRule>
    <cfRule type="cellIs" dxfId="0" priority="764" operator="equal">
      <formula>"不通过"</formula>
    </cfRule>
    <cfRule type="cellIs" dxfId="8" priority="699" operator="equal">
      <formula>"堵塞"</formula>
    </cfRule>
  </conditionalFormatting>
  <conditionalFormatting sqref="C103">
    <cfRule type="cellIs" dxfId="10" priority="5341" operator="equal">
      <formula>"1级"</formula>
    </cfRule>
    <cfRule type="cellIs" dxfId="2" priority="5339" operator="equal">
      <formula>"2级"</formula>
    </cfRule>
    <cfRule type="cellIs" dxfId="9" priority="5337" operator="equal">
      <formula>"3级"</formula>
    </cfRule>
  </conditionalFormatting>
  <conditionalFormatting sqref="E103">
    <cfRule type="cellIs" dxfId="7" priority="5335" operator="equal">
      <formula>"500/510/IVOC"</formula>
    </cfRule>
    <cfRule type="cellIs" dxfId="6" priority="5333" operator="equal">
      <formula>"500/510"</formula>
    </cfRule>
    <cfRule type="cellIs" dxfId="5" priority="5331" operator="equal">
      <formula>"IVOC"</formula>
    </cfRule>
    <cfRule type="cellIs" dxfId="2" priority="5329" operator="equal">
      <formula>"新增"</formula>
    </cfRule>
    <cfRule type="cellIs" dxfId="13" priority="5327" operator="equal">
      <formula>"优化"</formula>
    </cfRule>
    <cfRule type="cellIs" dxfId="12" priority="5325" operator="equal">
      <formula>"更新"</formula>
    </cfRule>
    <cfRule type="cellIs" dxfId="11" priority="5323" operator="equal">
      <formula>"废弃"</formula>
    </cfRule>
    <cfRule type="cellIs" dxfId="1" priority="5309" operator="equal">
      <formula>"新增"</formula>
    </cfRule>
  </conditionalFormatting>
  <conditionalFormatting sqref="L103">
    <cfRule type="cellIs" dxfId="1" priority="828" operator="equal">
      <formula>"通过"</formula>
    </cfRule>
    <cfRule type="cellIs" dxfId="0" priority="763" operator="equal">
      <formula>"不通过"</formula>
    </cfRule>
    <cfRule type="cellIs" dxfId="8" priority="698" operator="equal">
      <formula>"堵塞"</formula>
    </cfRule>
  </conditionalFormatting>
  <conditionalFormatting sqref="C104">
    <cfRule type="cellIs" dxfId="10" priority="5306" operator="equal">
      <formula>"1级"</formula>
    </cfRule>
    <cfRule type="cellIs" dxfId="2" priority="5304" operator="equal">
      <formula>"2级"</formula>
    </cfRule>
    <cfRule type="cellIs" dxfId="9" priority="5302" operator="equal">
      <formula>"3级"</formula>
    </cfRule>
  </conditionalFormatting>
  <conditionalFormatting sqref="E104">
    <cfRule type="cellIs" dxfId="7" priority="5300" operator="equal">
      <formula>"500/510/IVOC"</formula>
    </cfRule>
    <cfRule type="cellIs" dxfId="6" priority="5298" operator="equal">
      <formula>"500/510"</formula>
    </cfRule>
    <cfRule type="cellIs" dxfId="5" priority="5296" operator="equal">
      <formula>"IVOC"</formula>
    </cfRule>
    <cfRule type="cellIs" dxfId="2" priority="5294" operator="equal">
      <formula>"新增"</formula>
    </cfRule>
    <cfRule type="cellIs" dxfId="13" priority="5292" operator="equal">
      <formula>"优化"</formula>
    </cfRule>
    <cfRule type="cellIs" dxfId="12" priority="5290" operator="equal">
      <formula>"更新"</formula>
    </cfRule>
    <cfRule type="cellIs" dxfId="11" priority="5288" operator="equal">
      <formula>"废弃"</formula>
    </cfRule>
    <cfRule type="cellIs" dxfId="1" priority="5274" operator="equal">
      <formula>"新增"</formula>
    </cfRule>
  </conditionalFormatting>
  <conditionalFormatting sqref="L104">
    <cfRule type="cellIs" dxfId="1" priority="827" operator="equal">
      <formula>"通过"</formula>
    </cfRule>
    <cfRule type="cellIs" dxfId="0" priority="762" operator="equal">
      <formula>"不通过"</formula>
    </cfRule>
    <cfRule type="cellIs" dxfId="8" priority="697" operator="equal">
      <formula>"堵塞"</formula>
    </cfRule>
  </conditionalFormatting>
  <conditionalFormatting sqref="C105">
    <cfRule type="cellIs" dxfId="10" priority="5305" operator="equal">
      <formula>"1级"</formula>
    </cfRule>
    <cfRule type="cellIs" dxfId="2" priority="5303" operator="equal">
      <formula>"2级"</formula>
    </cfRule>
    <cfRule type="cellIs" dxfId="9" priority="5301" operator="equal">
      <formula>"3级"</formula>
    </cfRule>
  </conditionalFormatting>
  <conditionalFormatting sqref="E105">
    <cfRule type="cellIs" dxfId="7" priority="5299" operator="equal">
      <formula>"500/510/IVOC"</formula>
    </cfRule>
    <cfRule type="cellIs" dxfId="6" priority="5297" operator="equal">
      <formula>"500/510"</formula>
    </cfRule>
    <cfRule type="cellIs" dxfId="5" priority="5295" operator="equal">
      <formula>"IVOC"</formula>
    </cfRule>
    <cfRule type="cellIs" dxfId="2" priority="5293" operator="equal">
      <formula>"新增"</formula>
    </cfRule>
    <cfRule type="cellIs" dxfId="13" priority="5291" operator="equal">
      <formula>"优化"</formula>
    </cfRule>
    <cfRule type="cellIs" dxfId="12" priority="5289" operator="equal">
      <formula>"更新"</formula>
    </cfRule>
    <cfRule type="cellIs" dxfId="11" priority="5287" operator="equal">
      <formula>"废弃"</formula>
    </cfRule>
    <cfRule type="cellIs" dxfId="1" priority="5273" operator="equal">
      <formula>"新增"</formula>
    </cfRule>
  </conditionalFormatting>
  <conditionalFormatting sqref="L105">
    <cfRule type="cellIs" dxfId="1" priority="826" operator="equal">
      <formula>"通过"</formula>
    </cfRule>
    <cfRule type="cellIs" dxfId="0" priority="761" operator="equal">
      <formula>"不通过"</formula>
    </cfRule>
    <cfRule type="cellIs" dxfId="8" priority="696" operator="equal">
      <formula>"堵塞"</formula>
    </cfRule>
  </conditionalFormatting>
  <conditionalFormatting sqref="C106">
    <cfRule type="cellIs" dxfId="10" priority="5270" operator="equal">
      <formula>"1级"</formula>
    </cfRule>
    <cfRule type="cellIs" dxfId="2" priority="5268" operator="equal">
      <formula>"2级"</formula>
    </cfRule>
    <cfRule type="cellIs" dxfId="9" priority="5266" operator="equal">
      <formula>"3级"</formula>
    </cfRule>
  </conditionalFormatting>
  <conditionalFormatting sqref="E106">
    <cfRule type="cellIs" dxfId="7" priority="5264" operator="equal">
      <formula>"500/510/IVOC"</formula>
    </cfRule>
    <cfRule type="cellIs" dxfId="6" priority="5262" operator="equal">
      <formula>"500/510"</formula>
    </cfRule>
    <cfRule type="cellIs" dxfId="5" priority="5260" operator="equal">
      <formula>"IVOC"</formula>
    </cfRule>
    <cfRule type="cellIs" dxfId="2" priority="5258" operator="equal">
      <formula>"新增"</formula>
    </cfRule>
    <cfRule type="cellIs" dxfId="13" priority="5256" operator="equal">
      <formula>"优化"</formula>
    </cfRule>
    <cfRule type="cellIs" dxfId="12" priority="5254" operator="equal">
      <formula>"更新"</formula>
    </cfRule>
    <cfRule type="cellIs" dxfId="11" priority="5252" operator="equal">
      <formula>"废弃"</formula>
    </cfRule>
    <cfRule type="cellIs" dxfId="1" priority="5238" operator="equal">
      <formula>"新增"</formula>
    </cfRule>
  </conditionalFormatting>
  <conditionalFormatting sqref="L106">
    <cfRule type="cellIs" dxfId="1" priority="825" operator="equal">
      <formula>"通过"</formula>
    </cfRule>
    <cfRule type="cellIs" dxfId="0" priority="760" operator="equal">
      <formula>"不通过"</formula>
    </cfRule>
    <cfRule type="cellIs" dxfId="8" priority="695" operator="equal">
      <formula>"堵塞"</formula>
    </cfRule>
  </conditionalFormatting>
  <conditionalFormatting sqref="C107">
    <cfRule type="cellIs" dxfId="10" priority="5269" operator="equal">
      <formula>"1级"</formula>
    </cfRule>
    <cfRule type="cellIs" dxfId="2" priority="5267" operator="equal">
      <formula>"2级"</formula>
    </cfRule>
    <cfRule type="cellIs" dxfId="9" priority="5265" operator="equal">
      <formula>"3级"</formula>
    </cfRule>
  </conditionalFormatting>
  <conditionalFormatting sqref="E107">
    <cfRule type="cellIs" dxfId="7" priority="5263" operator="equal">
      <formula>"500/510/IVOC"</formula>
    </cfRule>
    <cfRule type="cellIs" dxfId="6" priority="5261" operator="equal">
      <formula>"500/510"</formula>
    </cfRule>
    <cfRule type="cellIs" dxfId="5" priority="5259" operator="equal">
      <formula>"IVOC"</formula>
    </cfRule>
    <cfRule type="cellIs" dxfId="2" priority="5257" operator="equal">
      <formula>"新增"</formula>
    </cfRule>
    <cfRule type="cellIs" dxfId="13" priority="5255" operator="equal">
      <formula>"优化"</formula>
    </cfRule>
    <cfRule type="cellIs" dxfId="12" priority="5253" operator="equal">
      <formula>"更新"</formula>
    </cfRule>
    <cfRule type="cellIs" dxfId="11" priority="5251" operator="equal">
      <formula>"废弃"</formula>
    </cfRule>
    <cfRule type="cellIs" dxfId="1" priority="5237" operator="equal">
      <formula>"新增"</formula>
    </cfRule>
  </conditionalFormatting>
  <conditionalFormatting sqref="L107">
    <cfRule type="cellIs" dxfId="1" priority="824" operator="equal">
      <formula>"通过"</formula>
    </cfRule>
    <cfRule type="cellIs" dxfId="0" priority="759" operator="equal">
      <formula>"不通过"</formula>
    </cfRule>
    <cfRule type="cellIs" dxfId="8" priority="694" operator="equal">
      <formula>"堵塞"</formula>
    </cfRule>
  </conditionalFormatting>
  <conditionalFormatting sqref="C108">
    <cfRule type="cellIs" dxfId="10" priority="5234" operator="equal">
      <formula>"1级"</formula>
    </cfRule>
    <cfRule type="cellIs" dxfId="2" priority="5232" operator="equal">
      <formula>"2级"</formula>
    </cfRule>
    <cfRule type="cellIs" dxfId="9" priority="5230" operator="equal">
      <formula>"3级"</formula>
    </cfRule>
  </conditionalFormatting>
  <conditionalFormatting sqref="E108">
    <cfRule type="cellIs" dxfId="7" priority="5228" operator="equal">
      <formula>"500/510/IVOC"</formula>
    </cfRule>
    <cfRule type="cellIs" dxfId="6" priority="5226" operator="equal">
      <formula>"500/510"</formula>
    </cfRule>
    <cfRule type="cellIs" dxfId="5" priority="5224" operator="equal">
      <formula>"IVOC"</formula>
    </cfRule>
    <cfRule type="cellIs" dxfId="2" priority="5222" operator="equal">
      <formula>"新增"</formula>
    </cfRule>
    <cfRule type="cellIs" dxfId="13" priority="5220" operator="equal">
      <formula>"优化"</formula>
    </cfRule>
    <cfRule type="cellIs" dxfId="12" priority="5218" operator="equal">
      <formula>"更新"</formula>
    </cfRule>
    <cfRule type="cellIs" dxfId="11" priority="5216" operator="equal">
      <formula>"废弃"</formula>
    </cfRule>
    <cfRule type="cellIs" dxfId="1" priority="5202" operator="equal">
      <formula>"新增"</formula>
    </cfRule>
  </conditionalFormatting>
  <conditionalFormatting sqref="L108">
    <cfRule type="cellIs" dxfId="1" priority="823" operator="equal">
      <formula>"通过"</formula>
    </cfRule>
    <cfRule type="cellIs" dxfId="0" priority="758" operator="equal">
      <formula>"不通过"</formula>
    </cfRule>
    <cfRule type="cellIs" dxfId="8" priority="693" operator="equal">
      <formula>"堵塞"</formula>
    </cfRule>
  </conditionalFormatting>
  <conditionalFormatting sqref="C109">
    <cfRule type="cellIs" dxfId="10" priority="5233" operator="equal">
      <formula>"1级"</formula>
    </cfRule>
    <cfRule type="cellIs" dxfId="2" priority="5231" operator="equal">
      <formula>"2级"</formula>
    </cfRule>
    <cfRule type="cellIs" dxfId="9" priority="5229" operator="equal">
      <formula>"3级"</formula>
    </cfRule>
  </conditionalFormatting>
  <conditionalFormatting sqref="E109">
    <cfRule type="cellIs" dxfId="7" priority="5227" operator="equal">
      <formula>"500/510/IVOC"</formula>
    </cfRule>
    <cfRule type="cellIs" dxfId="6" priority="5225" operator="equal">
      <formula>"500/510"</formula>
    </cfRule>
    <cfRule type="cellIs" dxfId="5" priority="5223" operator="equal">
      <formula>"IVOC"</formula>
    </cfRule>
    <cfRule type="cellIs" dxfId="2" priority="5221" operator="equal">
      <formula>"新增"</formula>
    </cfRule>
    <cfRule type="cellIs" dxfId="13" priority="5219" operator="equal">
      <formula>"优化"</formula>
    </cfRule>
    <cfRule type="cellIs" dxfId="12" priority="5217" operator="equal">
      <formula>"更新"</formula>
    </cfRule>
    <cfRule type="cellIs" dxfId="11" priority="5215" operator="equal">
      <formula>"废弃"</formula>
    </cfRule>
    <cfRule type="cellIs" dxfId="1" priority="5201" operator="equal">
      <formula>"新增"</formula>
    </cfRule>
  </conditionalFormatting>
  <conditionalFormatting sqref="L109">
    <cfRule type="cellIs" dxfId="1" priority="822" operator="equal">
      <formula>"通过"</formula>
    </cfRule>
    <cfRule type="cellIs" dxfId="0" priority="757" operator="equal">
      <formula>"不通过"</formula>
    </cfRule>
    <cfRule type="cellIs" dxfId="8" priority="692" operator="equal">
      <formula>"堵塞"</formula>
    </cfRule>
  </conditionalFormatting>
  <conditionalFormatting sqref="C110">
    <cfRule type="cellIs" dxfId="10" priority="5198" operator="equal">
      <formula>"1级"</formula>
    </cfRule>
    <cfRule type="cellIs" dxfId="2" priority="5196" operator="equal">
      <formula>"2级"</formula>
    </cfRule>
    <cfRule type="cellIs" dxfId="9" priority="5194" operator="equal">
      <formula>"3级"</formula>
    </cfRule>
  </conditionalFormatting>
  <conditionalFormatting sqref="E110">
    <cfRule type="cellIs" dxfId="7" priority="5192" operator="equal">
      <formula>"500/510/IVOC"</formula>
    </cfRule>
    <cfRule type="cellIs" dxfId="6" priority="5190" operator="equal">
      <formula>"500/510"</formula>
    </cfRule>
    <cfRule type="cellIs" dxfId="5" priority="5188" operator="equal">
      <formula>"IVOC"</formula>
    </cfRule>
    <cfRule type="cellIs" dxfId="2" priority="5186" operator="equal">
      <formula>"新增"</formula>
    </cfRule>
    <cfRule type="cellIs" dxfId="13" priority="5184" operator="equal">
      <formula>"优化"</formula>
    </cfRule>
    <cfRule type="cellIs" dxfId="12" priority="5182" operator="equal">
      <formula>"更新"</formula>
    </cfRule>
    <cfRule type="cellIs" dxfId="11" priority="5180" operator="equal">
      <formula>"废弃"</formula>
    </cfRule>
    <cfRule type="cellIs" dxfId="1" priority="5166" operator="equal">
      <formula>"新增"</formula>
    </cfRule>
  </conditionalFormatting>
  <conditionalFormatting sqref="L110">
    <cfRule type="cellIs" dxfId="1" priority="821" operator="equal">
      <formula>"通过"</formula>
    </cfRule>
    <cfRule type="cellIs" dxfId="0" priority="756" operator="equal">
      <formula>"不通过"</formula>
    </cfRule>
    <cfRule type="cellIs" dxfId="8" priority="691" operator="equal">
      <formula>"堵塞"</formula>
    </cfRule>
  </conditionalFormatting>
  <conditionalFormatting sqref="C111">
    <cfRule type="cellIs" dxfId="10" priority="5197" operator="equal">
      <formula>"1级"</formula>
    </cfRule>
    <cfRule type="cellIs" dxfId="2" priority="5195" operator="equal">
      <formula>"2级"</formula>
    </cfRule>
    <cfRule type="cellIs" dxfId="9" priority="5193" operator="equal">
      <formula>"3级"</formula>
    </cfRule>
  </conditionalFormatting>
  <conditionalFormatting sqref="E111">
    <cfRule type="cellIs" dxfId="7" priority="5191" operator="equal">
      <formula>"500/510/IVOC"</formula>
    </cfRule>
    <cfRule type="cellIs" dxfId="6" priority="5189" operator="equal">
      <formula>"500/510"</formula>
    </cfRule>
    <cfRule type="cellIs" dxfId="5" priority="5187" operator="equal">
      <formula>"IVOC"</formula>
    </cfRule>
    <cfRule type="cellIs" dxfId="2" priority="5185" operator="equal">
      <formula>"新增"</formula>
    </cfRule>
    <cfRule type="cellIs" dxfId="13" priority="5183" operator="equal">
      <formula>"优化"</formula>
    </cfRule>
    <cfRule type="cellIs" dxfId="12" priority="5181" operator="equal">
      <formula>"更新"</formula>
    </cfRule>
    <cfRule type="cellIs" dxfId="11" priority="5179" operator="equal">
      <formula>"废弃"</formula>
    </cfRule>
    <cfRule type="cellIs" dxfId="1" priority="5165" operator="equal">
      <formula>"新增"</formula>
    </cfRule>
  </conditionalFormatting>
  <conditionalFormatting sqref="L111">
    <cfRule type="cellIs" dxfId="1" priority="820" operator="equal">
      <formula>"通过"</formula>
    </cfRule>
    <cfRule type="cellIs" dxfId="0" priority="755" operator="equal">
      <formula>"不通过"</formula>
    </cfRule>
    <cfRule type="cellIs" dxfId="8" priority="690" operator="equal">
      <formula>"堵塞"</formula>
    </cfRule>
  </conditionalFormatting>
  <conditionalFormatting sqref="C112">
    <cfRule type="cellIs" dxfId="10" priority="5162" operator="equal">
      <formula>"1级"</formula>
    </cfRule>
    <cfRule type="cellIs" dxfId="2" priority="5160" operator="equal">
      <formula>"2级"</formula>
    </cfRule>
    <cfRule type="cellIs" dxfId="9" priority="5158" operator="equal">
      <formula>"3级"</formula>
    </cfRule>
  </conditionalFormatting>
  <conditionalFormatting sqref="E112">
    <cfRule type="cellIs" dxfId="7" priority="5156" operator="equal">
      <formula>"500/510/IVOC"</formula>
    </cfRule>
    <cfRule type="cellIs" dxfId="6" priority="5154" operator="equal">
      <formula>"500/510"</formula>
    </cfRule>
    <cfRule type="cellIs" dxfId="5" priority="5152" operator="equal">
      <formula>"IVOC"</formula>
    </cfRule>
    <cfRule type="cellIs" dxfId="2" priority="5150" operator="equal">
      <formula>"新增"</formula>
    </cfRule>
    <cfRule type="cellIs" dxfId="13" priority="5148" operator="equal">
      <formula>"优化"</formula>
    </cfRule>
    <cfRule type="cellIs" dxfId="12" priority="5146" operator="equal">
      <formula>"更新"</formula>
    </cfRule>
    <cfRule type="cellIs" dxfId="11" priority="5144" operator="equal">
      <formula>"废弃"</formula>
    </cfRule>
    <cfRule type="cellIs" dxfId="1" priority="5130" operator="equal">
      <formula>"新增"</formula>
    </cfRule>
  </conditionalFormatting>
  <conditionalFormatting sqref="L112">
    <cfRule type="cellIs" dxfId="1" priority="819" operator="equal">
      <formula>"通过"</formula>
    </cfRule>
    <cfRule type="cellIs" dxfId="0" priority="754" operator="equal">
      <formula>"不通过"</formula>
    </cfRule>
    <cfRule type="cellIs" dxfId="8" priority="689" operator="equal">
      <formula>"堵塞"</formula>
    </cfRule>
  </conditionalFormatting>
  <conditionalFormatting sqref="C113">
    <cfRule type="cellIs" dxfId="10" priority="5161" operator="equal">
      <formula>"1级"</formula>
    </cfRule>
    <cfRule type="cellIs" dxfId="2" priority="5159" operator="equal">
      <formula>"2级"</formula>
    </cfRule>
    <cfRule type="cellIs" dxfId="9" priority="5157" operator="equal">
      <formula>"3级"</formula>
    </cfRule>
  </conditionalFormatting>
  <conditionalFormatting sqref="E113">
    <cfRule type="cellIs" dxfId="7" priority="5155" operator="equal">
      <formula>"500/510/IVOC"</formula>
    </cfRule>
    <cfRule type="cellIs" dxfId="6" priority="5153" operator="equal">
      <formula>"500/510"</formula>
    </cfRule>
    <cfRule type="cellIs" dxfId="5" priority="5151" operator="equal">
      <formula>"IVOC"</formula>
    </cfRule>
    <cfRule type="cellIs" dxfId="2" priority="5149" operator="equal">
      <formula>"新增"</formula>
    </cfRule>
    <cfRule type="cellIs" dxfId="13" priority="5147" operator="equal">
      <formula>"优化"</formula>
    </cfRule>
    <cfRule type="cellIs" dxfId="12" priority="5145" operator="equal">
      <formula>"更新"</formula>
    </cfRule>
    <cfRule type="cellIs" dxfId="11" priority="5143" operator="equal">
      <formula>"废弃"</formula>
    </cfRule>
    <cfRule type="cellIs" dxfId="1" priority="5129" operator="equal">
      <formula>"新增"</formula>
    </cfRule>
  </conditionalFormatting>
  <conditionalFormatting sqref="L113">
    <cfRule type="cellIs" dxfId="1" priority="818" operator="equal">
      <formula>"通过"</formula>
    </cfRule>
    <cfRule type="cellIs" dxfId="0" priority="753" operator="equal">
      <formula>"不通过"</formula>
    </cfRule>
    <cfRule type="cellIs" dxfId="8" priority="688" operator="equal">
      <formula>"堵塞"</formula>
    </cfRule>
  </conditionalFormatting>
  <conditionalFormatting sqref="C114">
    <cfRule type="cellIs" dxfId="10" priority="5126" operator="equal">
      <formula>"1级"</formula>
    </cfRule>
    <cfRule type="cellIs" dxfId="2" priority="5124" operator="equal">
      <formula>"2级"</formula>
    </cfRule>
    <cfRule type="cellIs" dxfId="9" priority="5122" operator="equal">
      <formula>"3级"</formula>
    </cfRule>
  </conditionalFormatting>
  <conditionalFormatting sqref="E114">
    <cfRule type="cellIs" dxfId="7" priority="5120" operator="equal">
      <formula>"500/510/IVOC"</formula>
    </cfRule>
    <cfRule type="cellIs" dxfId="6" priority="5118" operator="equal">
      <formula>"500/510"</formula>
    </cfRule>
    <cfRule type="cellIs" dxfId="5" priority="5116" operator="equal">
      <formula>"IVOC"</formula>
    </cfRule>
    <cfRule type="cellIs" dxfId="2" priority="5114" operator="equal">
      <formula>"新增"</formula>
    </cfRule>
    <cfRule type="cellIs" dxfId="13" priority="5112" operator="equal">
      <formula>"优化"</formula>
    </cfRule>
    <cfRule type="cellIs" dxfId="12" priority="5110" operator="equal">
      <formula>"更新"</formula>
    </cfRule>
    <cfRule type="cellIs" dxfId="11" priority="5108" operator="equal">
      <formula>"废弃"</formula>
    </cfRule>
    <cfRule type="cellIs" dxfId="1" priority="5094" operator="equal">
      <formula>"新增"</formula>
    </cfRule>
  </conditionalFormatting>
  <conditionalFormatting sqref="L114">
    <cfRule type="cellIs" dxfId="1" priority="817" operator="equal">
      <formula>"通过"</formula>
    </cfRule>
    <cfRule type="cellIs" dxfId="0" priority="752" operator="equal">
      <formula>"不通过"</formula>
    </cfRule>
    <cfRule type="cellIs" dxfId="8" priority="687" operator="equal">
      <formula>"堵塞"</formula>
    </cfRule>
  </conditionalFormatting>
  <conditionalFormatting sqref="C115">
    <cfRule type="cellIs" dxfId="10" priority="5125" operator="equal">
      <formula>"1级"</formula>
    </cfRule>
    <cfRule type="cellIs" dxfId="2" priority="5123" operator="equal">
      <formula>"2级"</formula>
    </cfRule>
    <cfRule type="cellIs" dxfId="9" priority="5121" operator="equal">
      <formula>"3级"</formula>
    </cfRule>
  </conditionalFormatting>
  <conditionalFormatting sqref="E115">
    <cfRule type="cellIs" dxfId="7" priority="5119" operator="equal">
      <formula>"500/510/IVOC"</formula>
    </cfRule>
    <cfRule type="cellIs" dxfId="6" priority="5117" operator="equal">
      <formula>"500/510"</formula>
    </cfRule>
    <cfRule type="cellIs" dxfId="5" priority="5115" operator="equal">
      <formula>"IVOC"</formula>
    </cfRule>
    <cfRule type="cellIs" dxfId="2" priority="5113" operator="equal">
      <formula>"新增"</formula>
    </cfRule>
    <cfRule type="cellIs" dxfId="13" priority="5111" operator="equal">
      <formula>"优化"</formula>
    </cfRule>
    <cfRule type="cellIs" dxfId="12" priority="5109" operator="equal">
      <formula>"更新"</formula>
    </cfRule>
    <cfRule type="cellIs" dxfId="11" priority="5107" operator="equal">
      <formula>"废弃"</formula>
    </cfRule>
    <cfRule type="cellIs" dxfId="1" priority="5093" operator="equal">
      <formula>"新增"</formula>
    </cfRule>
  </conditionalFormatting>
  <conditionalFormatting sqref="L115">
    <cfRule type="cellIs" dxfId="1" priority="686" operator="equal">
      <formula>"通过"</formula>
    </cfRule>
    <cfRule type="cellIs" dxfId="0" priority="519" operator="equal">
      <formula>"不通过"</formula>
    </cfRule>
    <cfRule type="cellIs" dxfId="8" priority="352" operator="equal">
      <formula>"堵塞"</formula>
    </cfRule>
  </conditionalFormatting>
  <conditionalFormatting sqref="C116">
    <cfRule type="cellIs" dxfId="10" priority="5090" operator="equal">
      <formula>"1级"</formula>
    </cfRule>
    <cfRule type="cellIs" dxfId="2" priority="5086" operator="equal">
      <formula>"2级"</formula>
    </cfRule>
    <cfRule type="cellIs" dxfId="9" priority="5082" operator="equal">
      <formula>"3级"</formula>
    </cfRule>
  </conditionalFormatting>
  <conditionalFormatting sqref="E116">
    <cfRule type="cellIs" dxfId="7" priority="5078" operator="equal">
      <formula>"500/510/IVOC"</formula>
    </cfRule>
    <cfRule type="cellIs" dxfId="6" priority="5074" operator="equal">
      <formula>"500/510"</formula>
    </cfRule>
    <cfRule type="cellIs" dxfId="5" priority="5070" operator="equal">
      <formula>"IVOC"</formula>
    </cfRule>
    <cfRule type="cellIs" dxfId="2" priority="5066" operator="equal">
      <formula>"新增"</formula>
    </cfRule>
    <cfRule type="cellIs" dxfId="13" priority="5062" operator="equal">
      <formula>"优化"</formula>
    </cfRule>
    <cfRule type="cellIs" dxfId="12" priority="5058" operator="equal">
      <formula>"更新"</formula>
    </cfRule>
    <cfRule type="cellIs" dxfId="11" priority="5054" operator="equal">
      <formula>"废弃"</formula>
    </cfRule>
    <cfRule type="cellIs" dxfId="1" priority="5026" operator="equal">
      <formula>"新增"</formula>
    </cfRule>
  </conditionalFormatting>
  <conditionalFormatting sqref="L116">
    <cfRule type="cellIs" dxfId="1" priority="685" operator="equal">
      <formula>"通过"</formula>
    </cfRule>
    <cfRule type="cellIs" dxfId="0" priority="518" operator="equal">
      <formula>"不通过"</formula>
    </cfRule>
    <cfRule type="cellIs" dxfId="8" priority="351" operator="equal">
      <formula>"堵塞"</formula>
    </cfRule>
  </conditionalFormatting>
  <conditionalFormatting sqref="C117">
    <cfRule type="cellIs" dxfId="10" priority="5089" operator="equal">
      <formula>"1级"</formula>
    </cfRule>
    <cfRule type="cellIs" dxfId="2" priority="5085" operator="equal">
      <formula>"2级"</formula>
    </cfRule>
    <cfRule type="cellIs" dxfId="9" priority="5081" operator="equal">
      <formula>"3级"</formula>
    </cfRule>
  </conditionalFormatting>
  <conditionalFormatting sqref="E117">
    <cfRule type="cellIs" dxfId="7" priority="5077" operator="equal">
      <formula>"500/510/IVOC"</formula>
    </cfRule>
    <cfRule type="cellIs" dxfId="6" priority="5073" operator="equal">
      <formula>"500/510"</formula>
    </cfRule>
    <cfRule type="cellIs" dxfId="5" priority="5069" operator="equal">
      <formula>"IVOC"</formula>
    </cfRule>
    <cfRule type="cellIs" dxfId="2" priority="5065" operator="equal">
      <formula>"新增"</formula>
    </cfRule>
    <cfRule type="cellIs" dxfId="13" priority="5061" operator="equal">
      <formula>"优化"</formula>
    </cfRule>
    <cfRule type="cellIs" dxfId="12" priority="5057" operator="equal">
      <formula>"更新"</formula>
    </cfRule>
    <cfRule type="cellIs" dxfId="11" priority="5053" operator="equal">
      <formula>"废弃"</formula>
    </cfRule>
    <cfRule type="cellIs" dxfId="1" priority="5025" operator="equal">
      <formula>"新增"</formula>
    </cfRule>
  </conditionalFormatting>
  <conditionalFormatting sqref="L117">
    <cfRule type="cellIs" dxfId="1" priority="684" operator="equal">
      <formula>"通过"</formula>
    </cfRule>
    <cfRule type="cellIs" dxfId="0" priority="517" operator="equal">
      <formula>"不通过"</formula>
    </cfRule>
    <cfRule type="cellIs" dxfId="8" priority="350" operator="equal">
      <formula>"堵塞"</formula>
    </cfRule>
  </conditionalFormatting>
  <conditionalFormatting sqref="C118">
    <cfRule type="cellIs" dxfId="10" priority="5088" operator="equal">
      <formula>"1级"</formula>
    </cfRule>
    <cfRule type="cellIs" dxfId="2" priority="5084" operator="equal">
      <formula>"2级"</formula>
    </cfRule>
    <cfRule type="cellIs" dxfId="9" priority="5080" operator="equal">
      <formula>"3级"</formula>
    </cfRule>
  </conditionalFormatting>
  <conditionalFormatting sqref="E118">
    <cfRule type="cellIs" dxfId="7" priority="5076" operator="equal">
      <formula>"500/510/IVOC"</formula>
    </cfRule>
    <cfRule type="cellIs" dxfId="6" priority="5072" operator="equal">
      <formula>"500/510"</formula>
    </cfRule>
    <cfRule type="cellIs" dxfId="5" priority="5068" operator="equal">
      <formula>"IVOC"</formula>
    </cfRule>
    <cfRule type="cellIs" dxfId="2" priority="5064" operator="equal">
      <formula>"新增"</formula>
    </cfRule>
    <cfRule type="cellIs" dxfId="13" priority="5060" operator="equal">
      <formula>"优化"</formula>
    </cfRule>
    <cfRule type="cellIs" dxfId="12" priority="5056" operator="equal">
      <formula>"更新"</formula>
    </cfRule>
    <cfRule type="cellIs" dxfId="11" priority="5052" operator="equal">
      <formula>"废弃"</formula>
    </cfRule>
    <cfRule type="cellIs" dxfId="1" priority="5024" operator="equal">
      <formula>"新增"</formula>
    </cfRule>
  </conditionalFormatting>
  <conditionalFormatting sqref="L118">
    <cfRule type="cellIs" dxfId="1" priority="683" operator="equal">
      <formula>"通过"</formula>
    </cfRule>
    <cfRule type="cellIs" dxfId="0" priority="516" operator="equal">
      <formula>"不通过"</formula>
    </cfRule>
    <cfRule type="cellIs" dxfId="8" priority="349" operator="equal">
      <formula>"堵塞"</formula>
    </cfRule>
  </conditionalFormatting>
  <conditionalFormatting sqref="C119">
    <cfRule type="cellIs" dxfId="10" priority="5087" operator="equal">
      <formula>"1级"</formula>
    </cfRule>
    <cfRule type="cellIs" dxfId="2" priority="5083" operator="equal">
      <formula>"2级"</formula>
    </cfRule>
    <cfRule type="cellIs" dxfId="9" priority="5079" operator="equal">
      <formula>"3级"</formula>
    </cfRule>
  </conditionalFormatting>
  <conditionalFormatting sqref="E119">
    <cfRule type="cellIs" dxfId="7" priority="5075" operator="equal">
      <formula>"500/510/IVOC"</formula>
    </cfRule>
    <cfRule type="cellIs" dxfId="6" priority="5071" operator="equal">
      <formula>"500/510"</formula>
    </cfRule>
    <cfRule type="cellIs" dxfId="5" priority="5067" operator="equal">
      <formula>"IVOC"</formula>
    </cfRule>
    <cfRule type="cellIs" dxfId="2" priority="5063" operator="equal">
      <formula>"新增"</formula>
    </cfRule>
    <cfRule type="cellIs" dxfId="13" priority="5059" operator="equal">
      <formula>"优化"</formula>
    </cfRule>
    <cfRule type="cellIs" dxfId="12" priority="5055" operator="equal">
      <formula>"更新"</formula>
    </cfRule>
    <cfRule type="cellIs" dxfId="11" priority="5051" operator="equal">
      <formula>"废弃"</formula>
    </cfRule>
    <cfRule type="cellIs" dxfId="1" priority="5023" operator="equal">
      <formula>"新增"</formula>
    </cfRule>
  </conditionalFormatting>
  <conditionalFormatting sqref="L119">
    <cfRule type="cellIs" dxfId="1" priority="682" operator="equal">
      <formula>"通过"</formula>
    </cfRule>
    <cfRule type="cellIs" dxfId="0" priority="515" operator="equal">
      <formula>"不通过"</formula>
    </cfRule>
    <cfRule type="cellIs" dxfId="8" priority="348" operator="equal">
      <formula>"堵塞"</formula>
    </cfRule>
  </conditionalFormatting>
  <conditionalFormatting sqref="C120">
    <cfRule type="cellIs" dxfId="10" priority="5018" operator="equal">
      <formula>"1级"</formula>
    </cfRule>
    <cfRule type="cellIs" dxfId="2" priority="5004" operator="equal">
      <formula>"2级"</formula>
    </cfRule>
    <cfRule type="cellIs" dxfId="9" priority="4990" operator="equal">
      <formula>"3级"</formula>
    </cfRule>
  </conditionalFormatting>
  <conditionalFormatting sqref="E120">
    <cfRule type="cellIs" dxfId="7" priority="4976" operator="equal">
      <formula>"500/510/IVOC"</formula>
    </cfRule>
    <cfRule type="cellIs" dxfId="6" priority="4962" operator="equal">
      <formula>"500/510"</formula>
    </cfRule>
    <cfRule type="cellIs" dxfId="5" priority="4948" operator="equal">
      <formula>"IVOC"</formula>
    </cfRule>
    <cfRule type="cellIs" dxfId="2" priority="4934" operator="equal">
      <formula>"新增"</formula>
    </cfRule>
    <cfRule type="cellIs" dxfId="13" priority="4920" operator="equal">
      <formula>"优化"</formula>
    </cfRule>
    <cfRule type="cellIs" dxfId="12" priority="4906" operator="equal">
      <formula>"更新"</formula>
    </cfRule>
    <cfRule type="cellIs" dxfId="11" priority="4892" operator="equal">
      <formula>"废弃"</formula>
    </cfRule>
    <cfRule type="cellIs" dxfId="1" priority="4794" operator="equal">
      <formula>"新增"</formula>
    </cfRule>
  </conditionalFormatting>
  <conditionalFormatting sqref="L120">
    <cfRule type="cellIs" dxfId="1" priority="681" operator="equal">
      <formula>"通过"</formula>
    </cfRule>
    <cfRule type="cellIs" dxfId="0" priority="514" operator="equal">
      <formula>"不通过"</formula>
    </cfRule>
    <cfRule type="cellIs" dxfId="8" priority="347" operator="equal">
      <formula>"堵塞"</formula>
    </cfRule>
  </conditionalFormatting>
  <conditionalFormatting sqref="C121">
    <cfRule type="cellIs" dxfId="10" priority="5017" operator="equal">
      <formula>"1级"</formula>
    </cfRule>
    <cfRule type="cellIs" dxfId="2" priority="5003" operator="equal">
      <formula>"2级"</formula>
    </cfRule>
    <cfRule type="cellIs" dxfId="9" priority="4989" operator="equal">
      <formula>"3级"</formula>
    </cfRule>
  </conditionalFormatting>
  <conditionalFormatting sqref="E121">
    <cfRule type="cellIs" dxfId="7" priority="4975" operator="equal">
      <formula>"500/510/IVOC"</formula>
    </cfRule>
    <cfRule type="cellIs" dxfId="6" priority="4961" operator="equal">
      <formula>"500/510"</formula>
    </cfRule>
    <cfRule type="cellIs" dxfId="5" priority="4947" operator="equal">
      <formula>"IVOC"</formula>
    </cfRule>
    <cfRule type="cellIs" dxfId="2" priority="4933" operator="equal">
      <formula>"新增"</formula>
    </cfRule>
    <cfRule type="cellIs" dxfId="13" priority="4919" operator="equal">
      <formula>"优化"</formula>
    </cfRule>
    <cfRule type="cellIs" dxfId="12" priority="4905" operator="equal">
      <formula>"更新"</formula>
    </cfRule>
    <cfRule type="cellIs" dxfId="11" priority="4891" operator="equal">
      <formula>"废弃"</formula>
    </cfRule>
    <cfRule type="cellIs" dxfId="1" priority="4793" operator="equal">
      <formula>"新增"</formula>
    </cfRule>
  </conditionalFormatting>
  <conditionalFormatting sqref="L121">
    <cfRule type="cellIs" dxfId="1" priority="680" operator="equal">
      <formula>"通过"</formula>
    </cfRule>
    <cfRule type="cellIs" dxfId="0" priority="513" operator="equal">
      <formula>"不通过"</formula>
    </cfRule>
    <cfRule type="cellIs" dxfId="8" priority="346" operator="equal">
      <formula>"堵塞"</formula>
    </cfRule>
  </conditionalFormatting>
  <conditionalFormatting sqref="C122">
    <cfRule type="cellIs" dxfId="10" priority="5016" operator="equal">
      <formula>"1级"</formula>
    </cfRule>
    <cfRule type="cellIs" dxfId="2" priority="5002" operator="equal">
      <formula>"2级"</formula>
    </cfRule>
    <cfRule type="cellIs" dxfId="9" priority="4988" operator="equal">
      <formula>"3级"</formula>
    </cfRule>
  </conditionalFormatting>
  <conditionalFormatting sqref="E122">
    <cfRule type="cellIs" dxfId="7" priority="4974" operator="equal">
      <formula>"500/510/IVOC"</formula>
    </cfRule>
    <cfRule type="cellIs" dxfId="6" priority="4960" operator="equal">
      <formula>"500/510"</formula>
    </cfRule>
    <cfRule type="cellIs" dxfId="5" priority="4946" operator="equal">
      <formula>"IVOC"</formula>
    </cfRule>
    <cfRule type="cellIs" dxfId="2" priority="4932" operator="equal">
      <formula>"新增"</formula>
    </cfRule>
    <cfRule type="cellIs" dxfId="13" priority="4918" operator="equal">
      <formula>"优化"</formula>
    </cfRule>
    <cfRule type="cellIs" dxfId="12" priority="4904" operator="equal">
      <formula>"更新"</formula>
    </cfRule>
    <cfRule type="cellIs" dxfId="11" priority="4890" operator="equal">
      <formula>"废弃"</formula>
    </cfRule>
    <cfRule type="cellIs" dxfId="1" priority="4792" operator="equal">
      <formula>"新增"</formula>
    </cfRule>
  </conditionalFormatting>
  <conditionalFormatting sqref="L122">
    <cfRule type="cellIs" dxfId="1" priority="679" operator="equal">
      <formula>"通过"</formula>
    </cfRule>
    <cfRule type="cellIs" dxfId="0" priority="512" operator="equal">
      <formula>"不通过"</formula>
    </cfRule>
    <cfRule type="cellIs" dxfId="8" priority="345" operator="equal">
      <formula>"堵塞"</formula>
    </cfRule>
  </conditionalFormatting>
  <conditionalFormatting sqref="C123">
    <cfRule type="cellIs" dxfId="10" priority="5015" operator="equal">
      <formula>"1级"</formula>
    </cfRule>
    <cfRule type="cellIs" dxfId="2" priority="5001" operator="equal">
      <formula>"2级"</formula>
    </cfRule>
    <cfRule type="cellIs" dxfId="9" priority="4987" operator="equal">
      <formula>"3级"</formula>
    </cfRule>
  </conditionalFormatting>
  <conditionalFormatting sqref="E123">
    <cfRule type="cellIs" dxfId="7" priority="4973" operator="equal">
      <formula>"500/510/IVOC"</formula>
    </cfRule>
    <cfRule type="cellIs" dxfId="6" priority="4959" operator="equal">
      <formula>"500/510"</formula>
    </cfRule>
    <cfRule type="cellIs" dxfId="5" priority="4945" operator="equal">
      <formula>"IVOC"</formula>
    </cfRule>
    <cfRule type="cellIs" dxfId="2" priority="4931" operator="equal">
      <formula>"新增"</formula>
    </cfRule>
    <cfRule type="cellIs" dxfId="13" priority="4917" operator="equal">
      <formula>"优化"</formula>
    </cfRule>
    <cfRule type="cellIs" dxfId="12" priority="4903" operator="equal">
      <formula>"更新"</formula>
    </cfRule>
    <cfRule type="cellIs" dxfId="11" priority="4889" operator="equal">
      <formula>"废弃"</formula>
    </cfRule>
    <cfRule type="cellIs" dxfId="1" priority="4791" operator="equal">
      <formula>"新增"</formula>
    </cfRule>
  </conditionalFormatting>
  <conditionalFormatting sqref="L123">
    <cfRule type="cellIs" dxfId="1" priority="678" operator="equal">
      <formula>"通过"</formula>
    </cfRule>
    <cfRule type="cellIs" dxfId="0" priority="511" operator="equal">
      <formula>"不通过"</formula>
    </cfRule>
    <cfRule type="cellIs" dxfId="8" priority="344" operator="equal">
      <formula>"堵塞"</formula>
    </cfRule>
  </conditionalFormatting>
  <conditionalFormatting sqref="C124">
    <cfRule type="cellIs" dxfId="10" priority="5014" operator="equal">
      <formula>"1级"</formula>
    </cfRule>
    <cfRule type="cellIs" dxfId="2" priority="5000" operator="equal">
      <formula>"2级"</formula>
    </cfRule>
    <cfRule type="cellIs" dxfId="9" priority="4986" operator="equal">
      <formula>"3级"</formula>
    </cfRule>
  </conditionalFormatting>
  <conditionalFormatting sqref="E124">
    <cfRule type="cellIs" dxfId="7" priority="4972" operator="equal">
      <formula>"500/510/IVOC"</formula>
    </cfRule>
    <cfRule type="cellIs" dxfId="6" priority="4958" operator="equal">
      <formula>"500/510"</formula>
    </cfRule>
    <cfRule type="cellIs" dxfId="5" priority="4944" operator="equal">
      <formula>"IVOC"</formula>
    </cfRule>
    <cfRule type="cellIs" dxfId="2" priority="4930" operator="equal">
      <formula>"新增"</formula>
    </cfRule>
    <cfRule type="cellIs" dxfId="13" priority="4916" operator="equal">
      <formula>"优化"</formula>
    </cfRule>
    <cfRule type="cellIs" dxfId="12" priority="4902" operator="equal">
      <formula>"更新"</formula>
    </cfRule>
    <cfRule type="cellIs" dxfId="11" priority="4888" operator="equal">
      <formula>"废弃"</formula>
    </cfRule>
    <cfRule type="cellIs" dxfId="1" priority="4790" operator="equal">
      <formula>"新增"</formula>
    </cfRule>
  </conditionalFormatting>
  <conditionalFormatting sqref="L124">
    <cfRule type="cellIs" dxfId="1" priority="677" operator="equal">
      <formula>"通过"</formula>
    </cfRule>
    <cfRule type="cellIs" dxfId="0" priority="510" operator="equal">
      <formula>"不通过"</formula>
    </cfRule>
    <cfRule type="cellIs" dxfId="8" priority="343" operator="equal">
      <formula>"堵塞"</formula>
    </cfRule>
  </conditionalFormatting>
  <conditionalFormatting sqref="C125">
    <cfRule type="cellIs" dxfId="10" priority="5013" operator="equal">
      <formula>"1级"</formula>
    </cfRule>
    <cfRule type="cellIs" dxfId="2" priority="4999" operator="equal">
      <formula>"2级"</formula>
    </cfRule>
    <cfRule type="cellIs" dxfId="9" priority="4985" operator="equal">
      <formula>"3级"</formula>
    </cfRule>
  </conditionalFormatting>
  <conditionalFormatting sqref="E125">
    <cfRule type="cellIs" dxfId="7" priority="4971" operator="equal">
      <formula>"500/510/IVOC"</formula>
    </cfRule>
    <cfRule type="cellIs" dxfId="6" priority="4957" operator="equal">
      <formula>"500/510"</formula>
    </cfRule>
    <cfRule type="cellIs" dxfId="5" priority="4943" operator="equal">
      <formula>"IVOC"</formula>
    </cfRule>
    <cfRule type="cellIs" dxfId="2" priority="4929" operator="equal">
      <formula>"新增"</formula>
    </cfRule>
    <cfRule type="cellIs" dxfId="13" priority="4915" operator="equal">
      <formula>"优化"</formula>
    </cfRule>
    <cfRule type="cellIs" dxfId="12" priority="4901" operator="equal">
      <formula>"更新"</formula>
    </cfRule>
    <cfRule type="cellIs" dxfId="11" priority="4887" operator="equal">
      <formula>"废弃"</formula>
    </cfRule>
    <cfRule type="cellIs" dxfId="1" priority="4789" operator="equal">
      <formula>"新增"</formula>
    </cfRule>
  </conditionalFormatting>
  <conditionalFormatting sqref="L125">
    <cfRule type="cellIs" dxfId="1" priority="676" operator="equal">
      <formula>"通过"</formula>
    </cfRule>
    <cfRule type="cellIs" dxfId="0" priority="509" operator="equal">
      <formula>"不通过"</formula>
    </cfRule>
    <cfRule type="cellIs" dxfId="8" priority="342" operator="equal">
      <formula>"堵塞"</formula>
    </cfRule>
  </conditionalFormatting>
  <conditionalFormatting sqref="C126">
    <cfRule type="cellIs" dxfId="10" priority="5012" operator="equal">
      <formula>"1级"</formula>
    </cfRule>
    <cfRule type="cellIs" dxfId="2" priority="4998" operator="equal">
      <formula>"2级"</formula>
    </cfRule>
    <cfRule type="cellIs" dxfId="9" priority="4984" operator="equal">
      <formula>"3级"</formula>
    </cfRule>
  </conditionalFormatting>
  <conditionalFormatting sqref="E126">
    <cfRule type="cellIs" dxfId="7" priority="4970" operator="equal">
      <formula>"500/510/IVOC"</formula>
    </cfRule>
    <cfRule type="cellIs" dxfId="6" priority="4956" operator="equal">
      <formula>"500/510"</formula>
    </cfRule>
    <cfRule type="cellIs" dxfId="5" priority="4942" operator="equal">
      <formula>"IVOC"</formula>
    </cfRule>
    <cfRule type="cellIs" dxfId="2" priority="4928" operator="equal">
      <formula>"新增"</formula>
    </cfRule>
    <cfRule type="cellIs" dxfId="13" priority="4914" operator="equal">
      <formula>"优化"</formula>
    </cfRule>
    <cfRule type="cellIs" dxfId="12" priority="4900" operator="equal">
      <formula>"更新"</formula>
    </cfRule>
    <cfRule type="cellIs" dxfId="11" priority="4886" operator="equal">
      <formula>"废弃"</formula>
    </cfRule>
    <cfRule type="cellIs" dxfId="1" priority="4788" operator="equal">
      <formula>"新增"</formula>
    </cfRule>
  </conditionalFormatting>
  <conditionalFormatting sqref="L126">
    <cfRule type="cellIs" dxfId="1" priority="675" operator="equal">
      <formula>"通过"</formula>
    </cfRule>
    <cfRule type="cellIs" dxfId="0" priority="508" operator="equal">
      <formula>"不通过"</formula>
    </cfRule>
    <cfRule type="cellIs" dxfId="8" priority="341" operator="equal">
      <formula>"堵塞"</formula>
    </cfRule>
  </conditionalFormatting>
  <conditionalFormatting sqref="C127">
    <cfRule type="cellIs" dxfId="10" priority="5011" operator="equal">
      <formula>"1级"</formula>
    </cfRule>
    <cfRule type="cellIs" dxfId="2" priority="4997" operator="equal">
      <formula>"2级"</formula>
    </cfRule>
    <cfRule type="cellIs" dxfId="9" priority="4983" operator="equal">
      <formula>"3级"</formula>
    </cfRule>
  </conditionalFormatting>
  <conditionalFormatting sqref="E127">
    <cfRule type="cellIs" dxfId="7" priority="4969" operator="equal">
      <formula>"500/510/IVOC"</formula>
    </cfRule>
    <cfRule type="cellIs" dxfId="6" priority="4955" operator="equal">
      <formula>"500/510"</formula>
    </cfRule>
    <cfRule type="cellIs" dxfId="5" priority="4941" operator="equal">
      <formula>"IVOC"</formula>
    </cfRule>
    <cfRule type="cellIs" dxfId="2" priority="4927" operator="equal">
      <formula>"新增"</formula>
    </cfRule>
    <cfRule type="cellIs" dxfId="13" priority="4913" operator="equal">
      <formula>"优化"</formula>
    </cfRule>
    <cfRule type="cellIs" dxfId="12" priority="4899" operator="equal">
      <formula>"更新"</formula>
    </cfRule>
    <cfRule type="cellIs" dxfId="11" priority="4885" operator="equal">
      <formula>"废弃"</formula>
    </cfRule>
    <cfRule type="cellIs" dxfId="1" priority="4787" operator="equal">
      <formula>"新增"</formula>
    </cfRule>
  </conditionalFormatting>
  <conditionalFormatting sqref="L127">
    <cfRule type="cellIs" dxfId="1" priority="674" operator="equal">
      <formula>"通过"</formula>
    </cfRule>
    <cfRule type="cellIs" dxfId="0" priority="507" operator="equal">
      <formula>"不通过"</formula>
    </cfRule>
    <cfRule type="cellIs" dxfId="8" priority="340" operator="equal">
      <formula>"堵塞"</formula>
    </cfRule>
  </conditionalFormatting>
  <conditionalFormatting sqref="C128">
    <cfRule type="cellIs" dxfId="10" priority="5010" operator="equal">
      <formula>"1级"</formula>
    </cfRule>
    <cfRule type="cellIs" dxfId="2" priority="4996" operator="equal">
      <formula>"2级"</formula>
    </cfRule>
    <cfRule type="cellIs" dxfId="9" priority="4982" operator="equal">
      <formula>"3级"</formula>
    </cfRule>
  </conditionalFormatting>
  <conditionalFormatting sqref="E128">
    <cfRule type="cellIs" dxfId="7" priority="4968" operator="equal">
      <formula>"500/510/IVOC"</formula>
    </cfRule>
    <cfRule type="cellIs" dxfId="6" priority="4954" operator="equal">
      <formula>"500/510"</formula>
    </cfRule>
    <cfRule type="cellIs" dxfId="5" priority="4940" operator="equal">
      <formula>"IVOC"</formula>
    </cfRule>
    <cfRule type="cellIs" dxfId="2" priority="4926" operator="equal">
      <formula>"新增"</formula>
    </cfRule>
    <cfRule type="cellIs" dxfId="13" priority="4912" operator="equal">
      <formula>"优化"</formula>
    </cfRule>
    <cfRule type="cellIs" dxfId="12" priority="4898" operator="equal">
      <formula>"更新"</formula>
    </cfRule>
    <cfRule type="cellIs" dxfId="11" priority="4884" operator="equal">
      <formula>"废弃"</formula>
    </cfRule>
    <cfRule type="cellIs" dxfId="1" priority="4786" operator="equal">
      <formula>"新增"</formula>
    </cfRule>
  </conditionalFormatting>
  <conditionalFormatting sqref="L128">
    <cfRule type="cellIs" dxfId="1" priority="673" operator="equal">
      <formula>"通过"</formula>
    </cfRule>
    <cfRule type="cellIs" dxfId="0" priority="506" operator="equal">
      <formula>"不通过"</formula>
    </cfRule>
    <cfRule type="cellIs" dxfId="8" priority="339" operator="equal">
      <formula>"堵塞"</formula>
    </cfRule>
  </conditionalFormatting>
  <conditionalFormatting sqref="C129">
    <cfRule type="cellIs" dxfId="10" priority="5009" operator="equal">
      <formula>"1级"</formula>
    </cfRule>
    <cfRule type="cellIs" dxfId="2" priority="4995" operator="equal">
      <formula>"2级"</formula>
    </cfRule>
    <cfRule type="cellIs" dxfId="9" priority="4981" operator="equal">
      <formula>"3级"</formula>
    </cfRule>
  </conditionalFormatting>
  <conditionalFormatting sqref="E129">
    <cfRule type="cellIs" dxfId="7" priority="4967" operator="equal">
      <formula>"500/510/IVOC"</formula>
    </cfRule>
    <cfRule type="cellIs" dxfId="6" priority="4953" operator="equal">
      <formula>"500/510"</formula>
    </cfRule>
    <cfRule type="cellIs" dxfId="5" priority="4939" operator="equal">
      <formula>"IVOC"</formula>
    </cfRule>
    <cfRule type="cellIs" dxfId="2" priority="4925" operator="equal">
      <formula>"新增"</formula>
    </cfRule>
    <cfRule type="cellIs" dxfId="13" priority="4911" operator="equal">
      <formula>"优化"</formula>
    </cfRule>
    <cfRule type="cellIs" dxfId="12" priority="4897" operator="equal">
      <formula>"更新"</formula>
    </cfRule>
    <cfRule type="cellIs" dxfId="11" priority="4883" operator="equal">
      <formula>"废弃"</formula>
    </cfRule>
    <cfRule type="cellIs" dxfId="1" priority="4785" operator="equal">
      <formula>"新增"</formula>
    </cfRule>
  </conditionalFormatting>
  <conditionalFormatting sqref="L129">
    <cfRule type="cellIs" dxfId="1" priority="672" operator="equal">
      <formula>"通过"</formula>
    </cfRule>
    <cfRule type="cellIs" dxfId="0" priority="505" operator="equal">
      <formula>"不通过"</formula>
    </cfRule>
    <cfRule type="cellIs" dxfId="8" priority="338" operator="equal">
      <formula>"堵塞"</formula>
    </cfRule>
  </conditionalFormatting>
  <conditionalFormatting sqref="C130">
    <cfRule type="cellIs" dxfId="10" priority="5008" operator="equal">
      <formula>"1级"</formula>
    </cfRule>
    <cfRule type="cellIs" dxfId="2" priority="4994" operator="equal">
      <formula>"2级"</formula>
    </cfRule>
    <cfRule type="cellIs" dxfId="9" priority="4980" operator="equal">
      <formula>"3级"</formula>
    </cfRule>
  </conditionalFormatting>
  <conditionalFormatting sqref="E130">
    <cfRule type="cellIs" dxfId="7" priority="4966" operator="equal">
      <formula>"500/510/IVOC"</formula>
    </cfRule>
    <cfRule type="cellIs" dxfId="6" priority="4952" operator="equal">
      <formula>"500/510"</formula>
    </cfRule>
    <cfRule type="cellIs" dxfId="5" priority="4938" operator="equal">
      <formula>"IVOC"</formula>
    </cfRule>
    <cfRule type="cellIs" dxfId="2" priority="4924" operator="equal">
      <formula>"新增"</formula>
    </cfRule>
    <cfRule type="cellIs" dxfId="13" priority="4910" operator="equal">
      <formula>"优化"</formula>
    </cfRule>
    <cfRule type="cellIs" dxfId="12" priority="4896" operator="equal">
      <formula>"更新"</formula>
    </cfRule>
    <cfRule type="cellIs" dxfId="11" priority="4882" operator="equal">
      <formula>"废弃"</formula>
    </cfRule>
    <cfRule type="cellIs" dxfId="1" priority="4784" operator="equal">
      <formula>"新增"</formula>
    </cfRule>
  </conditionalFormatting>
  <conditionalFormatting sqref="L130">
    <cfRule type="cellIs" dxfId="1" priority="671" operator="equal">
      <formula>"通过"</formula>
    </cfRule>
    <cfRule type="cellIs" dxfId="0" priority="504" operator="equal">
      <formula>"不通过"</formula>
    </cfRule>
    <cfRule type="cellIs" dxfId="8" priority="337" operator="equal">
      <formula>"堵塞"</formula>
    </cfRule>
  </conditionalFormatting>
  <conditionalFormatting sqref="C131">
    <cfRule type="cellIs" dxfId="10" priority="5007" operator="equal">
      <formula>"1级"</formula>
    </cfRule>
    <cfRule type="cellIs" dxfId="2" priority="4993" operator="equal">
      <formula>"2级"</formula>
    </cfRule>
    <cfRule type="cellIs" dxfId="9" priority="4979" operator="equal">
      <formula>"3级"</formula>
    </cfRule>
  </conditionalFormatting>
  <conditionalFormatting sqref="E131">
    <cfRule type="cellIs" dxfId="7" priority="4965" operator="equal">
      <formula>"500/510/IVOC"</formula>
    </cfRule>
    <cfRule type="cellIs" dxfId="6" priority="4951" operator="equal">
      <formula>"500/510"</formula>
    </cfRule>
    <cfRule type="cellIs" dxfId="5" priority="4937" operator="equal">
      <formula>"IVOC"</formula>
    </cfRule>
    <cfRule type="cellIs" dxfId="2" priority="4923" operator="equal">
      <formula>"新增"</formula>
    </cfRule>
    <cfRule type="cellIs" dxfId="13" priority="4909" operator="equal">
      <formula>"优化"</formula>
    </cfRule>
    <cfRule type="cellIs" dxfId="12" priority="4895" operator="equal">
      <formula>"更新"</formula>
    </cfRule>
    <cfRule type="cellIs" dxfId="11" priority="4881" operator="equal">
      <formula>"废弃"</formula>
    </cfRule>
    <cfRule type="cellIs" dxfId="1" priority="4783" operator="equal">
      <formula>"新增"</formula>
    </cfRule>
  </conditionalFormatting>
  <conditionalFormatting sqref="L131">
    <cfRule type="cellIs" dxfId="1" priority="670" operator="equal">
      <formula>"通过"</formula>
    </cfRule>
    <cfRule type="cellIs" dxfId="0" priority="503" operator="equal">
      <formula>"不通过"</formula>
    </cfRule>
    <cfRule type="cellIs" dxfId="8" priority="336" operator="equal">
      <formula>"堵塞"</formula>
    </cfRule>
  </conditionalFormatting>
  <conditionalFormatting sqref="C132">
    <cfRule type="cellIs" dxfId="10" priority="5006" operator="equal">
      <formula>"1级"</formula>
    </cfRule>
    <cfRule type="cellIs" dxfId="2" priority="4992" operator="equal">
      <formula>"2级"</formula>
    </cfRule>
    <cfRule type="cellIs" dxfId="9" priority="4978" operator="equal">
      <formula>"3级"</formula>
    </cfRule>
  </conditionalFormatting>
  <conditionalFormatting sqref="E132">
    <cfRule type="cellIs" dxfId="7" priority="4964" operator="equal">
      <formula>"500/510/IVOC"</formula>
    </cfRule>
    <cfRule type="cellIs" dxfId="6" priority="4950" operator="equal">
      <formula>"500/510"</formula>
    </cfRule>
    <cfRule type="cellIs" dxfId="5" priority="4936" operator="equal">
      <formula>"IVOC"</formula>
    </cfRule>
    <cfRule type="cellIs" dxfId="2" priority="4922" operator="equal">
      <formula>"新增"</formula>
    </cfRule>
    <cfRule type="cellIs" dxfId="13" priority="4908" operator="equal">
      <formula>"优化"</formula>
    </cfRule>
    <cfRule type="cellIs" dxfId="12" priority="4894" operator="equal">
      <formula>"更新"</formula>
    </cfRule>
    <cfRule type="cellIs" dxfId="11" priority="4880" operator="equal">
      <formula>"废弃"</formula>
    </cfRule>
    <cfRule type="cellIs" dxfId="1" priority="4782" operator="equal">
      <formula>"新增"</formula>
    </cfRule>
  </conditionalFormatting>
  <conditionalFormatting sqref="L132">
    <cfRule type="cellIs" dxfId="1" priority="669" operator="equal">
      <formula>"通过"</formula>
    </cfRule>
    <cfRule type="cellIs" dxfId="0" priority="502" operator="equal">
      <formula>"不通过"</formula>
    </cfRule>
    <cfRule type="cellIs" dxfId="8" priority="335" operator="equal">
      <formula>"堵塞"</formula>
    </cfRule>
  </conditionalFormatting>
  <conditionalFormatting sqref="C133">
    <cfRule type="cellIs" dxfId="10" priority="5005" operator="equal">
      <formula>"1级"</formula>
    </cfRule>
    <cfRule type="cellIs" dxfId="2" priority="4991" operator="equal">
      <formula>"2级"</formula>
    </cfRule>
    <cfRule type="cellIs" dxfId="9" priority="4977" operator="equal">
      <formula>"3级"</formula>
    </cfRule>
  </conditionalFormatting>
  <conditionalFormatting sqref="E133">
    <cfRule type="cellIs" dxfId="7" priority="4963" operator="equal">
      <formula>"500/510/IVOC"</formula>
    </cfRule>
    <cfRule type="cellIs" dxfId="6" priority="4949" operator="equal">
      <formula>"500/510"</formula>
    </cfRule>
    <cfRule type="cellIs" dxfId="5" priority="4935" operator="equal">
      <formula>"IVOC"</formula>
    </cfRule>
    <cfRule type="cellIs" dxfId="2" priority="4921" operator="equal">
      <formula>"新增"</formula>
    </cfRule>
    <cfRule type="cellIs" dxfId="13" priority="4907" operator="equal">
      <formula>"优化"</formula>
    </cfRule>
    <cfRule type="cellIs" dxfId="12" priority="4893" operator="equal">
      <formula>"更新"</formula>
    </cfRule>
    <cfRule type="cellIs" dxfId="11" priority="4879" operator="equal">
      <formula>"废弃"</formula>
    </cfRule>
    <cfRule type="cellIs" dxfId="1" priority="4781" operator="equal">
      <formula>"新增"</formula>
    </cfRule>
  </conditionalFormatting>
  <conditionalFormatting sqref="L133">
    <cfRule type="cellIs" dxfId="1" priority="668" operator="equal">
      <formula>"通过"</formula>
    </cfRule>
    <cfRule type="cellIs" dxfId="0" priority="501" operator="equal">
      <formula>"不通过"</formula>
    </cfRule>
    <cfRule type="cellIs" dxfId="8" priority="334" operator="equal">
      <formula>"堵塞"</formula>
    </cfRule>
  </conditionalFormatting>
  <conditionalFormatting sqref="C134">
    <cfRule type="cellIs" dxfId="10" priority="4766" operator="equal">
      <formula>"1级"</formula>
    </cfRule>
    <cfRule type="cellIs" dxfId="2" priority="4764" operator="equal">
      <formula>"2级"</formula>
    </cfRule>
    <cfRule type="cellIs" dxfId="9" priority="4762" operator="equal">
      <formula>"3级"</formula>
    </cfRule>
  </conditionalFormatting>
  <conditionalFormatting sqref="E134">
    <cfRule type="cellIs" dxfId="7" priority="4760" operator="equal">
      <formula>"500/510/IVOC"</formula>
    </cfRule>
    <cfRule type="cellIs" dxfId="6" priority="4758" operator="equal">
      <formula>"500/510"</formula>
    </cfRule>
    <cfRule type="cellIs" dxfId="5" priority="4756" operator="equal">
      <formula>"IVOC"</formula>
    </cfRule>
    <cfRule type="cellIs" dxfId="2" priority="4754" operator="equal">
      <formula>"新增"</formula>
    </cfRule>
    <cfRule type="cellIs" dxfId="13" priority="4752" operator="equal">
      <formula>"优化"</formula>
    </cfRule>
    <cfRule type="cellIs" dxfId="12" priority="4750" operator="equal">
      <formula>"更新"</formula>
    </cfRule>
    <cfRule type="cellIs" dxfId="11" priority="4748" operator="equal">
      <formula>"废弃"</formula>
    </cfRule>
    <cfRule type="cellIs" dxfId="1" priority="4734" operator="equal">
      <formula>"新增"</formula>
    </cfRule>
  </conditionalFormatting>
  <conditionalFormatting sqref="L134">
    <cfRule type="cellIs" dxfId="1" priority="667" operator="equal">
      <formula>"通过"</formula>
    </cfRule>
    <cfRule type="cellIs" dxfId="0" priority="500" operator="equal">
      <formula>"不通过"</formula>
    </cfRule>
    <cfRule type="cellIs" dxfId="8" priority="333" operator="equal">
      <formula>"堵塞"</formula>
    </cfRule>
  </conditionalFormatting>
  <conditionalFormatting sqref="C135">
    <cfRule type="cellIs" dxfId="10" priority="4765" operator="equal">
      <formula>"1级"</formula>
    </cfRule>
    <cfRule type="cellIs" dxfId="2" priority="4763" operator="equal">
      <formula>"2级"</formula>
    </cfRule>
    <cfRule type="cellIs" dxfId="9" priority="4761" operator="equal">
      <formula>"3级"</formula>
    </cfRule>
  </conditionalFormatting>
  <conditionalFormatting sqref="E135">
    <cfRule type="cellIs" dxfId="7" priority="4759" operator="equal">
      <formula>"500/510/IVOC"</formula>
    </cfRule>
    <cfRule type="cellIs" dxfId="6" priority="4757" operator="equal">
      <formula>"500/510"</formula>
    </cfRule>
    <cfRule type="cellIs" dxfId="5" priority="4755" operator="equal">
      <formula>"IVOC"</formula>
    </cfRule>
    <cfRule type="cellIs" dxfId="2" priority="4753" operator="equal">
      <formula>"新增"</formula>
    </cfRule>
    <cfRule type="cellIs" dxfId="13" priority="4751" operator="equal">
      <formula>"优化"</formula>
    </cfRule>
    <cfRule type="cellIs" dxfId="12" priority="4749" operator="equal">
      <formula>"更新"</formula>
    </cfRule>
    <cfRule type="cellIs" dxfId="11" priority="4747" operator="equal">
      <formula>"废弃"</formula>
    </cfRule>
    <cfRule type="cellIs" dxfId="1" priority="4733" operator="equal">
      <formula>"新增"</formula>
    </cfRule>
  </conditionalFormatting>
  <conditionalFormatting sqref="L135">
    <cfRule type="cellIs" dxfId="1" priority="666" operator="equal">
      <formula>"通过"</formula>
    </cfRule>
    <cfRule type="cellIs" dxfId="0" priority="499" operator="equal">
      <formula>"不通过"</formula>
    </cfRule>
    <cfRule type="cellIs" dxfId="8" priority="332" operator="equal">
      <formula>"堵塞"</formula>
    </cfRule>
  </conditionalFormatting>
  <conditionalFormatting sqref="C136">
    <cfRule type="cellIs" dxfId="10" priority="4730" operator="equal">
      <formula>"1级"</formula>
    </cfRule>
    <cfRule type="cellIs" dxfId="2" priority="4728" operator="equal">
      <formula>"2级"</formula>
    </cfRule>
    <cfRule type="cellIs" dxfId="9" priority="4726" operator="equal">
      <formula>"3级"</formula>
    </cfRule>
  </conditionalFormatting>
  <conditionalFormatting sqref="E136">
    <cfRule type="cellIs" dxfId="7" priority="4724" operator="equal">
      <formula>"500/510/IVOC"</formula>
    </cfRule>
    <cfRule type="cellIs" dxfId="6" priority="4722" operator="equal">
      <formula>"500/510"</formula>
    </cfRule>
    <cfRule type="cellIs" dxfId="5" priority="4720" operator="equal">
      <formula>"IVOC"</formula>
    </cfRule>
    <cfRule type="cellIs" dxfId="2" priority="4718" operator="equal">
      <formula>"新增"</formula>
    </cfRule>
    <cfRule type="cellIs" dxfId="13" priority="4716" operator="equal">
      <formula>"优化"</formula>
    </cfRule>
    <cfRule type="cellIs" dxfId="12" priority="4714" operator="equal">
      <formula>"更新"</formula>
    </cfRule>
    <cfRule type="cellIs" dxfId="11" priority="4712" operator="equal">
      <formula>"废弃"</formula>
    </cfRule>
    <cfRule type="cellIs" dxfId="1" priority="4698" operator="equal">
      <formula>"新增"</formula>
    </cfRule>
  </conditionalFormatting>
  <conditionalFormatting sqref="L136">
    <cfRule type="cellIs" dxfId="1" priority="665" operator="equal">
      <formula>"通过"</formula>
    </cfRule>
    <cfRule type="cellIs" dxfId="0" priority="498" operator="equal">
      <formula>"不通过"</formula>
    </cfRule>
    <cfRule type="cellIs" dxfId="8" priority="331" operator="equal">
      <formula>"堵塞"</formula>
    </cfRule>
  </conditionalFormatting>
  <conditionalFormatting sqref="C137">
    <cfRule type="cellIs" dxfId="10" priority="4729" operator="equal">
      <formula>"1级"</formula>
    </cfRule>
    <cfRule type="cellIs" dxfId="2" priority="4727" operator="equal">
      <formula>"2级"</formula>
    </cfRule>
    <cfRule type="cellIs" dxfId="9" priority="4725" operator="equal">
      <formula>"3级"</formula>
    </cfRule>
  </conditionalFormatting>
  <conditionalFormatting sqref="E137">
    <cfRule type="cellIs" dxfId="7" priority="4723" operator="equal">
      <formula>"500/510/IVOC"</formula>
    </cfRule>
    <cfRule type="cellIs" dxfId="6" priority="4721" operator="equal">
      <formula>"500/510"</formula>
    </cfRule>
    <cfRule type="cellIs" dxfId="5" priority="4719" operator="equal">
      <formula>"IVOC"</formula>
    </cfRule>
    <cfRule type="cellIs" dxfId="2" priority="4717" operator="equal">
      <formula>"新增"</formula>
    </cfRule>
    <cfRule type="cellIs" dxfId="13" priority="4715" operator="equal">
      <formula>"优化"</formula>
    </cfRule>
    <cfRule type="cellIs" dxfId="12" priority="4713" operator="equal">
      <formula>"更新"</formula>
    </cfRule>
    <cfRule type="cellIs" dxfId="11" priority="4711" operator="equal">
      <formula>"废弃"</formula>
    </cfRule>
    <cfRule type="cellIs" dxfId="1" priority="4697" operator="equal">
      <formula>"新增"</formula>
    </cfRule>
  </conditionalFormatting>
  <conditionalFormatting sqref="L137">
    <cfRule type="cellIs" dxfId="1" priority="664" operator="equal">
      <formula>"通过"</formula>
    </cfRule>
    <cfRule type="cellIs" dxfId="0" priority="497" operator="equal">
      <formula>"不通过"</formula>
    </cfRule>
    <cfRule type="cellIs" dxfId="8" priority="330" operator="equal">
      <formula>"堵塞"</formula>
    </cfRule>
  </conditionalFormatting>
  <conditionalFormatting sqref="C138">
    <cfRule type="cellIs" dxfId="10" priority="4694" operator="equal">
      <formula>"1级"</formula>
    </cfRule>
    <cfRule type="cellIs" dxfId="2" priority="4692" operator="equal">
      <formula>"2级"</formula>
    </cfRule>
    <cfRule type="cellIs" dxfId="9" priority="4690" operator="equal">
      <formula>"3级"</formula>
    </cfRule>
  </conditionalFormatting>
  <conditionalFormatting sqref="E138">
    <cfRule type="cellIs" dxfId="7" priority="4688" operator="equal">
      <formula>"500/510/IVOC"</formula>
    </cfRule>
    <cfRule type="cellIs" dxfId="6" priority="4686" operator="equal">
      <formula>"500/510"</formula>
    </cfRule>
    <cfRule type="cellIs" dxfId="5" priority="4684" operator="equal">
      <formula>"IVOC"</formula>
    </cfRule>
    <cfRule type="cellIs" dxfId="2" priority="4682" operator="equal">
      <formula>"新增"</formula>
    </cfRule>
    <cfRule type="cellIs" dxfId="13" priority="4680" operator="equal">
      <formula>"优化"</formula>
    </cfRule>
    <cfRule type="cellIs" dxfId="12" priority="4678" operator="equal">
      <formula>"更新"</formula>
    </cfRule>
    <cfRule type="cellIs" dxfId="11" priority="4676" operator="equal">
      <formula>"废弃"</formula>
    </cfRule>
    <cfRule type="cellIs" dxfId="1" priority="4662" operator="equal">
      <formula>"新增"</formula>
    </cfRule>
  </conditionalFormatting>
  <conditionalFormatting sqref="L138">
    <cfRule type="cellIs" dxfId="1" priority="663" operator="equal">
      <formula>"通过"</formula>
    </cfRule>
    <cfRule type="cellIs" dxfId="0" priority="496" operator="equal">
      <formula>"不通过"</formula>
    </cfRule>
    <cfRule type="cellIs" dxfId="8" priority="329" operator="equal">
      <formula>"堵塞"</formula>
    </cfRule>
  </conditionalFormatting>
  <conditionalFormatting sqref="C139">
    <cfRule type="cellIs" dxfId="10" priority="4693" operator="equal">
      <formula>"1级"</formula>
    </cfRule>
    <cfRule type="cellIs" dxfId="2" priority="4691" operator="equal">
      <formula>"2级"</formula>
    </cfRule>
    <cfRule type="cellIs" dxfId="9" priority="4689" operator="equal">
      <formula>"3级"</formula>
    </cfRule>
  </conditionalFormatting>
  <conditionalFormatting sqref="E139">
    <cfRule type="cellIs" dxfId="7" priority="4687" operator="equal">
      <formula>"500/510/IVOC"</formula>
    </cfRule>
    <cfRule type="cellIs" dxfId="6" priority="4685" operator="equal">
      <formula>"500/510"</formula>
    </cfRule>
    <cfRule type="cellIs" dxfId="5" priority="4683" operator="equal">
      <formula>"IVOC"</formula>
    </cfRule>
    <cfRule type="cellIs" dxfId="2" priority="4681" operator="equal">
      <formula>"新增"</formula>
    </cfRule>
    <cfRule type="cellIs" dxfId="13" priority="4679" operator="equal">
      <formula>"优化"</formula>
    </cfRule>
    <cfRule type="cellIs" dxfId="12" priority="4677" operator="equal">
      <formula>"更新"</formula>
    </cfRule>
    <cfRule type="cellIs" dxfId="11" priority="4675" operator="equal">
      <formula>"废弃"</formula>
    </cfRule>
    <cfRule type="cellIs" dxfId="1" priority="4661" operator="equal">
      <formula>"新增"</formula>
    </cfRule>
  </conditionalFormatting>
  <conditionalFormatting sqref="L139">
    <cfRule type="cellIs" dxfId="1" priority="662" operator="equal">
      <formula>"通过"</formula>
    </cfRule>
    <cfRule type="cellIs" dxfId="0" priority="495" operator="equal">
      <formula>"不通过"</formula>
    </cfRule>
    <cfRule type="cellIs" dxfId="8" priority="328" operator="equal">
      <formula>"堵塞"</formula>
    </cfRule>
  </conditionalFormatting>
  <conditionalFormatting sqref="C140">
    <cfRule type="cellIs" dxfId="10" priority="4658" operator="equal">
      <formula>"1级"</formula>
    </cfRule>
    <cfRule type="cellIs" dxfId="2" priority="4656" operator="equal">
      <formula>"2级"</formula>
    </cfRule>
    <cfRule type="cellIs" dxfId="9" priority="4654" operator="equal">
      <formula>"3级"</formula>
    </cfRule>
  </conditionalFormatting>
  <conditionalFormatting sqref="E140">
    <cfRule type="cellIs" dxfId="7" priority="4652" operator="equal">
      <formula>"500/510/IVOC"</formula>
    </cfRule>
    <cfRule type="cellIs" dxfId="6" priority="4650" operator="equal">
      <formula>"500/510"</formula>
    </cfRule>
    <cfRule type="cellIs" dxfId="5" priority="4648" operator="equal">
      <formula>"IVOC"</formula>
    </cfRule>
    <cfRule type="cellIs" dxfId="2" priority="4646" operator="equal">
      <formula>"新增"</formula>
    </cfRule>
    <cfRule type="cellIs" dxfId="13" priority="4644" operator="equal">
      <formula>"优化"</formula>
    </cfRule>
    <cfRule type="cellIs" dxfId="12" priority="4642" operator="equal">
      <formula>"更新"</formula>
    </cfRule>
    <cfRule type="cellIs" dxfId="11" priority="4640" operator="equal">
      <formula>"废弃"</formula>
    </cfRule>
    <cfRule type="cellIs" dxfId="1" priority="4626" operator="equal">
      <formula>"新增"</formula>
    </cfRule>
  </conditionalFormatting>
  <conditionalFormatting sqref="L140">
    <cfRule type="cellIs" dxfId="1" priority="661" operator="equal">
      <formula>"通过"</formula>
    </cfRule>
    <cfRule type="cellIs" dxfId="0" priority="494" operator="equal">
      <formula>"不通过"</formula>
    </cfRule>
    <cfRule type="cellIs" dxfId="8" priority="327" operator="equal">
      <formula>"堵塞"</formula>
    </cfRule>
  </conditionalFormatting>
  <conditionalFormatting sqref="C141">
    <cfRule type="cellIs" dxfId="10" priority="4657" operator="equal">
      <formula>"1级"</formula>
    </cfRule>
    <cfRule type="cellIs" dxfId="2" priority="4655" operator="equal">
      <formula>"2级"</formula>
    </cfRule>
    <cfRule type="cellIs" dxfId="9" priority="4653" operator="equal">
      <formula>"3级"</formula>
    </cfRule>
  </conditionalFormatting>
  <conditionalFormatting sqref="E141">
    <cfRule type="cellIs" dxfId="7" priority="4651" operator="equal">
      <formula>"500/510/IVOC"</formula>
    </cfRule>
    <cfRule type="cellIs" dxfId="6" priority="4649" operator="equal">
      <formula>"500/510"</formula>
    </cfRule>
    <cfRule type="cellIs" dxfId="5" priority="4647" operator="equal">
      <formula>"IVOC"</formula>
    </cfRule>
    <cfRule type="cellIs" dxfId="2" priority="4645" operator="equal">
      <formula>"新增"</formula>
    </cfRule>
    <cfRule type="cellIs" dxfId="13" priority="4643" operator="equal">
      <formula>"优化"</formula>
    </cfRule>
    <cfRule type="cellIs" dxfId="12" priority="4641" operator="equal">
      <formula>"更新"</formula>
    </cfRule>
    <cfRule type="cellIs" dxfId="11" priority="4639" operator="equal">
      <formula>"废弃"</formula>
    </cfRule>
    <cfRule type="cellIs" dxfId="1" priority="4625" operator="equal">
      <formula>"新增"</formula>
    </cfRule>
  </conditionalFormatting>
  <conditionalFormatting sqref="L141">
    <cfRule type="cellIs" dxfId="1" priority="660" operator="equal">
      <formula>"通过"</formula>
    </cfRule>
    <cfRule type="cellIs" dxfId="0" priority="493" operator="equal">
      <formula>"不通过"</formula>
    </cfRule>
    <cfRule type="cellIs" dxfId="8" priority="326" operator="equal">
      <formula>"堵塞"</formula>
    </cfRule>
  </conditionalFormatting>
  <conditionalFormatting sqref="C142">
    <cfRule type="cellIs" dxfId="10" priority="4622" operator="equal">
      <formula>"1级"</formula>
    </cfRule>
    <cfRule type="cellIs" dxfId="2" priority="4620" operator="equal">
      <formula>"2级"</formula>
    </cfRule>
    <cfRule type="cellIs" dxfId="9" priority="4618" operator="equal">
      <formula>"3级"</formula>
    </cfRule>
  </conditionalFormatting>
  <conditionalFormatting sqref="E142">
    <cfRule type="cellIs" dxfId="7" priority="4616" operator="equal">
      <formula>"500/510/IVOC"</formula>
    </cfRule>
    <cfRule type="cellIs" dxfId="6" priority="4614" operator="equal">
      <formula>"500/510"</formula>
    </cfRule>
    <cfRule type="cellIs" dxfId="5" priority="4612" operator="equal">
      <formula>"IVOC"</formula>
    </cfRule>
    <cfRule type="cellIs" dxfId="2" priority="4610" operator="equal">
      <formula>"新增"</formula>
    </cfRule>
    <cfRule type="cellIs" dxfId="13" priority="4608" operator="equal">
      <formula>"优化"</formula>
    </cfRule>
    <cfRule type="cellIs" dxfId="12" priority="4606" operator="equal">
      <formula>"更新"</formula>
    </cfRule>
    <cfRule type="cellIs" dxfId="11" priority="4604" operator="equal">
      <formula>"废弃"</formula>
    </cfRule>
    <cfRule type="cellIs" dxfId="1" priority="4590" operator="equal">
      <formula>"新增"</formula>
    </cfRule>
  </conditionalFormatting>
  <conditionalFormatting sqref="L142">
    <cfRule type="cellIs" dxfId="1" priority="659" operator="equal">
      <formula>"通过"</formula>
    </cfRule>
    <cfRule type="cellIs" dxfId="0" priority="492" operator="equal">
      <formula>"不通过"</formula>
    </cfRule>
    <cfRule type="cellIs" dxfId="8" priority="325" operator="equal">
      <formula>"堵塞"</formula>
    </cfRule>
  </conditionalFormatting>
  <conditionalFormatting sqref="C143">
    <cfRule type="cellIs" dxfId="10" priority="4621" operator="equal">
      <formula>"1级"</formula>
    </cfRule>
    <cfRule type="cellIs" dxfId="2" priority="4619" operator="equal">
      <formula>"2级"</formula>
    </cfRule>
    <cfRule type="cellIs" dxfId="9" priority="4617" operator="equal">
      <formula>"3级"</formula>
    </cfRule>
  </conditionalFormatting>
  <conditionalFormatting sqref="E143">
    <cfRule type="cellIs" dxfId="7" priority="4615" operator="equal">
      <formula>"500/510/IVOC"</formula>
    </cfRule>
    <cfRule type="cellIs" dxfId="6" priority="4613" operator="equal">
      <formula>"500/510"</formula>
    </cfRule>
    <cfRule type="cellIs" dxfId="5" priority="4611" operator="equal">
      <formula>"IVOC"</formula>
    </cfRule>
    <cfRule type="cellIs" dxfId="2" priority="4609" operator="equal">
      <formula>"新增"</formula>
    </cfRule>
    <cfRule type="cellIs" dxfId="13" priority="4607" operator="equal">
      <formula>"优化"</formula>
    </cfRule>
    <cfRule type="cellIs" dxfId="12" priority="4605" operator="equal">
      <formula>"更新"</formula>
    </cfRule>
    <cfRule type="cellIs" dxfId="11" priority="4603" operator="equal">
      <formula>"废弃"</formula>
    </cfRule>
    <cfRule type="cellIs" dxfId="1" priority="4589" operator="equal">
      <formula>"新增"</formula>
    </cfRule>
  </conditionalFormatting>
  <conditionalFormatting sqref="L143">
    <cfRule type="cellIs" dxfId="1" priority="658" operator="equal">
      <formula>"通过"</formula>
    </cfRule>
    <cfRule type="cellIs" dxfId="0" priority="491" operator="equal">
      <formula>"不通过"</formula>
    </cfRule>
    <cfRule type="cellIs" dxfId="8" priority="324" operator="equal">
      <formula>"堵塞"</formula>
    </cfRule>
  </conditionalFormatting>
  <conditionalFormatting sqref="C144">
    <cfRule type="cellIs" dxfId="10" priority="4586" operator="equal">
      <formula>"1级"</formula>
    </cfRule>
    <cfRule type="cellIs" dxfId="2" priority="4584" operator="equal">
      <formula>"2级"</formula>
    </cfRule>
    <cfRule type="cellIs" dxfId="9" priority="4582" operator="equal">
      <formula>"3级"</formula>
    </cfRule>
  </conditionalFormatting>
  <conditionalFormatting sqref="E144">
    <cfRule type="cellIs" dxfId="7" priority="4580" operator="equal">
      <formula>"500/510/IVOC"</formula>
    </cfRule>
    <cfRule type="cellIs" dxfId="6" priority="4578" operator="equal">
      <formula>"500/510"</formula>
    </cfRule>
    <cfRule type="cellIs" dxfId="5" priority="4576" operator="equal">
      <formula>"IVOC"</formula>
    </cfRule>
    <cfRule type="cellIs" dxfId="2" priority="4574" operator="equal">
      <formula>"新增"</formula>
    </cfRule>
    <cfRule type="cellIs" dxfId="13" priority="4572" operator="equal">
      <formula>"优化"</formula>
    </cfRule>
    <cfRule type="cellIs" dxfId="12" priority="4570" operator="equal">
      <formula>"更新"</formula>
    </cfRule>
    <cfRule type="cellIs" dxfId="11" priority="4568" operator="equal">
      <formula>"废弃"</formula>
    </cfRule>
    <cfRule type="cellIs" dxfId="1" priority="4554" operator="equal">
      <formula>"新增"</formula>
    </cfRule>
  </conditionalFormatting>
  <conditionalFormatting sqref="L144">
    <cfRule type="cellIs" dxfId="1" priority="657" operator="equal">
      <formula>"通过"</formula>
    </cfRule>
    <cfRule type="cellIs" dxfId="0" priority="490" operator="equal">
      <formula>"不通过"</formula>
    </cfRule>
    <cfRule type="cellIs" dxfId="8" priority="323" operator="equal">
      <formula>"堵塞"</formula>
    </cfRule>
  </conditionalFormatting>
  <conditionalFormatting sqref="C145">
    <cfRule type="cellIs" dxfId="10" priority="4585" operator="equal">
      <formula>"1级"</formula>
    </cfRule>
    <cfRule type="cellIs" dxfId="2" priority="4583" operator="equal">
      <formula>"2级"</formula>
    </cfRule>
    <cfRule type="cellIs" dxfId="9" priority="4581" operator="equal">
      <formula>"3级"</formula>
    </cfRule>
  </conditionalFormatting>
  <conditionalFormatting sqref="E145">
    <cfRule type="cellIs" dxfId="7" priority="4579" operator="equal">
      <formula>"500/510/IVOC"</formula>
    </cfRule>
    <cfRule type="cellIs" dxfId="6" priority="4577" operator="equal">
      <formula>"500/510"</formula>
    </cfRule>
    <cfRule type="cellIs" dxfId="5" priority="4575" operator="equal">
      <formula>"IVOC"</formula>
    </cfRule>
    <cfRule type="cellIs" dxfId="2" priority="4573" operator="equal">
      <formula>"新增"</formula>
    </cfRule>
    <cfRule type="cellIs" dxfId="13" priority="4571" operator="equal">
      <formula>"优化"</formula>
    </cfRule>
    <cfRule type="cellIs" dxfId="12" priority="4569" operator="equal">
      <formula>"更新"</formula>
    </cfRule>
    <cfRule type="cellIs" dxfId="11" priority="4567" operator="equal">
      <formula>"废弃"</formula>
    </cfRule>
    <cfRule type="cellIs" dxfId="1" priority="4553" operator="equal">
      <formula>"新增"</formula>
    </cfRule>
  </conditionalFormatting>
  <conditionalFormatting sqref="L145">
    <cfRule type="cellIs" dxfId="1" priority="656" operator="equal">
      <formula>"通过"</formula>
    </cfRule>
    <cfRule type="cellIs" dxfId="0" priority="489" operator="equal">
      <formula>"不通过"</formula>
    </cfRule>
    <cfRule type="cellIs" dxfId="8" priority="322" operator="equal">
      <formula>"堵塞"</formula>
    </cfRule>
  </conditionalFormatting>
  <conditionalFormatting sqref="C146">
    <cfRule type="cellIs" dxfId="10" priority="4550" operator="equal">
      <formula>"1级"</formula>
    </cfRule>
    <cfRule type="cellIs" dxfId="2" priority="4548" operator="equal">
      <formula>"2级"</formula>
    </cfRule>
    <cfRule type="cellIs" dxfId="9" priority="4546" operator="equal">
      <formula>"3级"</formula>
    </cfRule>
  </conditionalFormatting>
  <conditionalFormatting sqref="E146">
    <cfRule type="cellIs" dxfId="7" priority="4544" operator="equal">
      <formula>"500/510/IVOC"</formula>
    </cfRule>
    <cfRule type="cellIs" dxfId="6" priority="4542" operator="equal">
      <formula>"500/510"</formula>
    </cfRule>
    <cfRule type="cellIs" dxfId="5" priority="4540" operator="equal">
      <formula>"IVOC"</formula>
    </cfRule>
    <cfRule type="cellIs" dxfId="2" priority="4538" operator="equal">
      <formula>"新增"</formula>
    </cfRule>
    <cfRule type="cellIs" dxfId="13" priority="4536" operator="equal">
      <formula>"优化"</formula>
    </cfRule>
    <cfRule type="cellIs" dxfId="12" priority="4534" operator="equal">
      <formula>"更新"</formula>
    </cfRule>
    <cfRule type="cellIs" dxfId="11" priority="4532" operator="equal">
      <formula>"废弃"</formula>
    </cfRule>
    <cfRule type="cellIs" dxfId="1" priority="4518" operator="equal">
      <formula>"新增"</formula>
    </cfRule>
  </conditionalFormatting>
  <conditionalFormatting sqref="L146">
    <cfRule type="cellIs" dxfId="1" priority="655" operator="equal">
      <formula>"通过"</formula>
    </cfRule>
    <cfRule type="cellIs" dxfId="0" priority="488" operator="equal">
      <formula>"不通过"</formula>
    </cfRule>
    <cfRule type="cellIs" dxfId="8" priority="321" operator="equal">
      <formula>"堵塞"</formula>
    </cfRule>
  </conditionalFormatting>
  <conditionalFormatting sqref="C147">
    <cfRule type="cellIs" dxfId="10" priority="4549" operator="equal">
      <formula>"1级"</formula>
    </cfRule>
    <cfRule type="cellIs" dxfId="2" priority="4547" operator="equal">
      <formula>"2级"</formula>
    </cfRule>
    <cfRule type="cellIs" dxfId="9" priority="4545" operator="equal">
      <formula>"3级"</formula>
    </cfRule>
  </conditionalFormatting>
  <conditionalFormatting sqref="E147">
    <cfRule type="cellIs" dxfId="7" priority="4543" operator="equal">
      <formula>"500/510/IVOC"</formula>
    </cfRule>
    <cfRule type="cellIs" dxfId="6" priority="4541" operator="equal">
      <formula>"500/510"</formula>
    </cfRule>
    <cfRule type="cellIs" dxfId="5" priority="4539" operator="equal">
      <formula>"IVOC"</formula>
    </cfRule>
    <cfRule type="cellIs" dxfId="2" priority="4537" operator="equal">
      <formula>"新增"</formula>
    </cfRule>
    <cfRule type="cellIs" dxfId="13" priority="4535" operator="equal">
      <formula>"优化"</formula>
    </cfRule>
    <cfRule type="cellIs" dxfId="12" priority="4533" operator="equal">
      <formula>"更新"</formula>
    </cfRule>
    <cfRule type="cellIs" dxfId="11" priority="4531" operator="equal">
      <formula>"废弃"</formula>
    </cfRule>
    <cfRule type="cellIs" dxfId="1" priority="4517" operator="equal">
      <formula>"新增"</formula>
    </cfRule>
  </conditionalFormatting>
  <conditionalFormatting sqref="L147">
    <cfRule type="cellIs" dxfId="1" priority="654" operator="equal">
      <formula>"通过"</formula>
    </cfRule>
    <cfRule type="cellIs" dxfId="0" priority="487" operator="equal">
      <formula>"不通过"</formula>
    </cfRule>
    <cfRule type="cellIs" dxfId="8" priority="320" operator="equal">
      <formula>"堵塞"</formula>
    </cfRule>
  </conditionalFormatting>
  <conditionalFormatting sqref="C148">
    <cfRule type="cellIs" dxfId="10" priority="4514" operator="equal">
      <formula>"1级"</formula>
    </cfRule>
    <cfRule type="cellIs" dxfId="2" priority="4512" operator="equal">
      <formula>"2级"</formula>
    </cfRule>
    <cfRule type="cellIs" dxfId="9" priority="4510" operator="equal">
      <formula>"3级"</formula>
    </cfRule>
  </conditionalFormatting>
  <conditionalFormatting sqref="E148">
    <cfRule type="cellIs" dxfId="7" priority="4508" operator="equal">
      <formula>"500/510/IVOC"</formula>
    </cfRule>
    <cfRule type="cellIs" dxfId="6" priority="4506" operator="equal">
      <formula>"500/510"</formula>
    </cfRule>
    <cfRule type="cellIs" dxfId="5" priority="4504" operator="equal">
      <formula>"IVOC"</formula>
    </cfRule>
    <cfRule type="cellIs" dxfId="2" priority="4502" operator="equal">
      <formula>"新增"</formula>
    </cfRule>
    <cfRule type="cellIs" dxfId="13" priority="4500" operator="equal">
      <formula>"优化"</formula>
    </cfRule>
    <cfRule type="cellIs" dxfId="12" priority="4498" operator="equal">
      <formula>"更新"</formula>
    </cfRule>
    <cfRule type="cellIs" dxfId="11" priority="4496" operator="equal">
      <formula>"废弃"</formula>
    </cfRule>
    <cfRule type="cellIs" dxfId="1" priority="4482" operator="equal">
      <formula>"新增"</formula>
    </cfRule>
  </conditionalFormatting>
  <conditionalFormatting sqref="L148">
    <cfRule type="cellIs" dxfId="1" priority="653" operator="equal">
      <formula>"通过"</formula>
    </cfRule>
    <cfRule type="cellIs" dxfId="0" priority="486" operator="equal">
      <formula>"不通过"</formula>
    </cfRule>
    <cfRule type="cellIs" dxfId="8" priority="319" operator="equal">
      <formula>"堵塞"</formula>
    </cfRule>
  </conditionalFormatting>
  <conditionalFormatting sqref="C149">
    <cfRule type="cellIs" dxfId="10" priority="4513" operator="equal">
      <formula>"1级"</formula>
    </cfRule>
    <cfRule type="cellIs" dxfId="2" priority="4511" operator="equal">
      <formula>"2级"</formula>
    </cfRule>
    <cfRule type="cellIs" dxfId="9" priority="4509" operator="equal">
      <formula>"3级"</formula>
    </cfRule>
  </conditionalFormatting>
  <conditionalFormatting sqref="E149">
    <cfRule type="cellIs" dxfId="7" priority="4507" operator="equal">
      <formula>"500/510/IVOC"</formula>
    </cfRule>
    <cfRule type="cellIs" dxfId="6" priority="4505" operator="equal">
      <formula>"500/510"</formula>
    </cfRule>
    <cfRule type="cellIs" dxfId="5" priority="4503" operator="equal">
      <formula>"IVOC"</formula>
    </cfRule>
    <cfRule type="cellIs" dxfId="2" priority="4501" operator="equal">
      <formula>"新增"</formula>
    </cfRule>
    <cfRule type="cellIs" dxfId="13" priority="4499" operator="equal">
      <formula>"优化"</formula>
    </cfRule>
    <cfRule type="cellIs" dxfId="12" priority="4497" operator="equal">
      <formula>"更新"</formula>
    </cfRule>
    <cfRule type="cellIs" dxfId="11" priority="4495" operator="equal">
      <formula>"废弃"</formula>
    </cfRule>
    <cfRule type="cellIs" dxfId="1" priority="4481" operator="equal">
      <formula>"新增"</formula>
    </cfRule>
  </conditionalFormatting>
  <conditionalFormatting sqref="L149">
    <cfRule type="cellIs" dxfId="1" priority="652" operator="equal">
      <formula>"通过"</formula>
    </cfRule>
    <cfRule type="cellIs" dxfId="0" priority="485" operator="equal">
      <formula>"不通过"</formula>
    </cfRule>
    <cfRule type="cellIs" dxfId="8" priority="318" operator="equal">
      <formula>"堵塞"</formula>
    </cfRule>
  </conditionalFormatting>
  <conditionalFormatting sqref="C150">
    <cfRule type="cellIs" dxfId="10" priority="4478" operator="equal">
      <formula>"1级"</formula>
    </cfRule>
    <cfRule type="cellIs" dxfId="2" priority="4476" operator="equal">
      <formula>"2级"</formula>
    </cfRule>
    <cfRule type="cellIs" dxfId="9" priority="4474" operator="equal">
      <formula>"3级"</formula>
    </cfRule>
  </conditionalFormatting>
  <conditionalFormatting sqref="E150">
    <cfRule type="cellIs" dxfId="7" priority="4472" operator="equal">
      <formula>"500/510/IVOC"</formula>
    </cfRule>
    <cfRule type="cellIs" dxfId="6" priority="4470" operator="equal">
      <formula>"500/510"</formula>
    </cfRule>
    <cfRule type="cellIs" dxfId="5" priority="4468" operator="equal">
      <formula>"IVOC"</formula>
    </cfRule>
    <cfRule type="cellIs" dxfId="2" priority="4466" operator="equal">
      <formula>"新增"</formula>
    </cfRule>
    <cfRule type="cellIs" dxfId="13" priority="4464" operator="equal">
      <formula>"优化"</formula>
    </cfRule>
    <cfRule type="cellIs" dxfId="12" priority="4462" operator="equal">
      <formula>"更新"</formula>
    </cfRule>
    <cfRule type="cellIs" dxfId="11" priority="4460" operator="equal">
      <formula>"废弃"</formula>
    </cfRule>
    <cfRule type="cellIs" dxfId="1" priority="4446" operator="equal">
      <formula>"新增"</formula>
    </cfRule>
  </conditionalFormatting>
  <conditionalFormatting sqref="L150">
    <cfRule type="cellIs" dxfId="1" priority="651" operator="equal">
      <formula>"通过"</formula>
    </cfRule>
    <cfRule type="cellIs" dxfId="0" priority="484" operator="equal">
      <formula>"不通过"</formula>
    </cfRule>
    <cfRule type="cellIs" dxfId="8" priority="317" operator="equal">
      <formula>"堵塞"</formula>
    </cfRule>
  </conditionalFormatting>
  <conditionalFormatting sqref="C151">
    <cfRule type="cellIs" dxfId="10" priority="4477" operator="equal">
      <formula>"1级"</formula>
    </cfRule>
    <cfRule type="cellIs" dxfId="2" priority="4475" operator="equal">
      <formula>"2级"</formula>
    </cfRule>
    <cfRule type="cellIs" dxfId="9" priority="4473" operator="equal">
      <formula>"3级"</formula>
    </cfRule>
  </conditionalFormatting>
  <conditionalFormatting sqref="E151">
    <cfRule type="cellIs" dxfId="7" priority="4471" operator="equal">
      <formula>"500/510/IVOC"</formula>
    </cfRule>
    <cfRule type="cellIs" dxfId="6" priority="4469" operator="equal">
      <formula>"500/510"</formula>
    </cfRule>
    <cfRule type="cellIs" dxfId="5" priority="4467" operator="equal">
      <formula>"IVOC"</formula>
    </cfRule>
    <cfRule type="cellIs" dxfId="2" priority="4465" operator="equal">
      <formula>"新增"</formula>
    </cfRule>
    <cfRule type="cellIs" dxfId="13" priority="4463" operator="equal">
      <formula>"优化"</formula>
    </cfRule>
    <cfRule type="cellIs" dxfId="12" priority="4461" operator="equal">
      <formula>"更新"</formula>
    </cfRule>
    <cfRule type="cellIs" dxfId="11" priority="4459" operator="equal">
      <formula>"废弃"</formula>
    </cfRule>
    <cfRule type="cellIs" dxfId="1" priority="4445" operator="equal">
      <formula>"新增"</formula>
    </cfRule>
  </conditionalFormatting>
  <conditionalFormatting sqref="L151">
    <cfRule type="cellIs" dxfId="1" priority="650" operator="equal">
      <formula>"通过"</formula>
    </cfRule>
    <cfRule type="cellIs" dxfId="0" priority="483" operator="equal">
      <formula>"不通过"</formula>
    </cfRule>
    <cfRule type="cellIs" dxfId="8" priority="316" operator="equal">
      <formula>"堵塞"</formula>
    </cfRule>
  </conditionalFormatting>
  <conditionalFormatting sqref="C152">
    <cfRule type="cellIs" dxfId="10" priority="4442" operator="equal">
      <formula>"1级"</formula>
    </cfRule>
    <cfRule type="cellIs" dxfId="2" priority="4440" operator="equal">
      <formula>"2级"</formula>
    </cfRule>
    <cfRule type="cellIs" dxfId="9" priority="4438" operator="equal">
      <formula>"3级"</formula>
    </cfRule>
  </conditionalFormatting>
  <conditionalFormatting sqref="E152">
    <cfRule type="cellIs" dxfId="7" priority="4436" operator="equal">
      <formula>"500/510/IVOC"</formula>
    </cfRule>
    <cfRule type="cellIs" dxfId="6" priority="4434" operator="equal">
      <formula>"500/510"</formula>
    </cfRule>
    <cfRule type="cellIs" dxfId="5" priority="4432" operator="equal">
      <formula>"IVOC"</formula>
    </cfRule>
    <cfRule type="cellIs" dxfId="2" priority="4430" operator="equal">
      <formula>"新增"</formula>
    </cfRule>
    <cfRule type="cellIs" dxfId="13" priority="4428" operator="equal">
      <formula>"优化"</formula>
    </cfRule>
    <cfRule type="cellIs" dxfId="12" priority="4426" operator="equal">
      <formula>"更新"</formula>
    </cfRule>
    <cfRule type="cellIs" dxfId="11" priority="4424" operator="equal">
      <formula>"废弃"</formula>
    </cfRule>
    <cfRule type="cellIs" dxfId="1" priority="4410" operator="equal">
      <formula>"新增"</formula>
    </cfRule>
  </conditionalFormatting>
  <conditionalFormatting sqref="L152">
    <cfRule type="cellIs" dxfId="1" priority="649" operator="equal">
      <formula>"通过"</formula>
    </cfRule>
    <cfRule type="cellIs" dxfId="0" priority="482" operator="equal">
      <formula>"不通过"</formula>
    </cfRule>
    <cfRule type="cellIs" dxfId="8" priority="315" operator="equal">
      <formula>"堵塞"</formula>
    </cfRule>
  </conditionalFormatting>
  <conditionalFormatting sqref="C153">
    <cfRule type="cellIs" dxfId="10" priority="4441" operator="equal">
      <formula>"1级"</formula>
    </cfRule>
    <cfRule type="cellIs" dxfId="2" priority="4439" operator="equal">
      <formula>"2级"</formula>
    </cfRule>
    <cfRule type="cellIs" dxfId="9" priority="4437" operator="equal">
      <formula>"3级"</formula>
    </cfRule>
  </conditionalFormatting>
  <conditionalFormatting sqref="E153">
    <cfRule type="cellIs" dxfId="7" priority="4435" operator="equal">
      <formula>"500/510/IVOC"</formula>
    </cfRule>
    <cfRule type="cellIs" dxfId="6" priority="4433" operator="equal">
      <formula>"500/510"</formula>
    </cfRule>
    <cfRule type="cellIs" dxfId="5" priority="4431" operator="equal">
      <formula>"IVOC"</formula>
    </cfRule>
    <cfRule type="cellIs" dxfId="2" priority="4429" operator="equal">
      <formula>"新增"</formula>
    </cfRule>
    <cfRule type="cellIs" dxfId="13" priority="4427" operator="equal">
      <formula>"优化"</formula>
    </cfRule>
    <cfRule type="cellIs" dxfId="12" priority="4425" operator="equal">
      <formula>"更新"</formula>
    </cfRule>
    <cfRule type="cellIs" dxfId="11" priority="4423" operator="equal">
      <formula>"废弃"</formula>
    </cfRule>
    <cfRule type="cellIs" dxfId="1" priority="4409" operator="equal">
      <formula>"新增"</formula>
    </cfRule>
  </conditionalFormatting>
  <conditionalFormatting sqref="L153">
    <cfRule type="cellIs" dxfId="1" priority="648" operator="equal">
      <formula>"通过"</formula>
    </cfRule>
    <cfRule type="cellIs" dxfId="0" priority="481" operator="equal">
      <formula>"不通过"</formula>
    </cfRule>
    <cfRule type="cellIs" dxfId="8" priority="314" operator="equal">
      <formula>"堵塞"</formula>
    </cfRule>
  </conditionalFormatting>
  <conditionalFormatting sqref="C154">
    <cfRule type="cellIs" dxfId="10" priority="4406" operator="equal">
      <formula>"1级"</formula>
    </cfRule>
    <cfRule type="cellIs" dxfId="2" priority="4404" operator="equal">
      <formula>"2级"</formula>
    </cfRule>
    <cfRule type="cellIs" dxfId="9" priority="4402" operator="equal">
      <formula>"3级"</formula>
    </cfRule>
  </conditionalFormatting>
  <conditionalFormatting sqref="E154">
    <cfRule type="cellIs" dxfId="7" priority="4400" operator="equal">
      <formula>"500/510/IVOC"</formula>
    </cfRule>
    <cfRule type="cellIs" dxfId="6" priority="4398" operator="equal">
      <formula>"500/510"</formula>
    </cfRule>
    <cfRule type="cellIs" dxfId="5" priority="4396" operator="equal">
      <formula>"IVOC"</formula>
    </cfRule>
    <cfRule type="cellIs" dxfId="2" priority="4394" operator="equal">
      <formula>"新增"</formula>
    </cfRule>
    <cfRule type="cellIs" dxfId="13" priority="4392" operator="equal">
      <formula>"优化"</formula>
    </cfRule>
    <cfRule type="cellIs" dxfId="12" priority="4390" operator="equal">
      <formula>"更新"</formula>
    </cfRule>
    <cfRule type="cellIs" dxfId="11" priority="4388" operator="equal">
      <formula>"废弃"</formula>
    </cfRule>
    <cfRule type="cellIs" dxfId="1" priority="4374" operator="equal">
      <formula>"新增"</formula>
    </cfRule>
  </conditionalFormatting>
  <conditionalFormatting sqref="L154">
    <cfRule type="cellIs" dxfId="1" priority="647" operator="equal">
      <formula>"通过"</formula>
    </cfRule>
    <cfRule type="cellIs" dxfId="0" priority="480" operator="equal">
      <formula>"不通过"</formula>
    </cfRule>
    <cfRule type="cellIs" dxfId="8" priority="313" operator="equal">
      <formula>"堵塞"</formula>
    </cfRule>
  </conditionalFormatting>
  <conditionalFormatting sqref="C155">
    <cfRule type="cellIs" dxfId="10" priority="4405" operator="equal">
      <formula>"1级"</formula>
    </cfRule>
    <cfRule type="cellIs" dxfId="2" priority="4403" operator="equal">
      <formula>"2级"</formula>
    </cfRule>
    <cfRule type="cellIs" dxfId="9" priority="4401" operator="equal">
      <formula>"3级"</formula>
    </cfRule>
  </conditionalFormatting>
  <conditionalFormatting sqref="E155">
    <cfRule type="cellIs" dxfId="7" priority="4399" operator="equal">
      <formula>"500/510/IVOC"</formula>
    </cfRule>
    <cfRule type="cellIs" dxfId="6" priority="4397" operator="equal">
      <formula>"500/510"</formula>
    </cfRule>
    <cfRule type="cellIs" dxfId="5" priority="4395" operator="equal">
      <formula>"IVOC"</formula>
    </cfRule>
    <cfRule type="cellIs" dxfId="2" priority="4393" operator="equal">
      <formula>"新增"</formula>
    </cfRule>
    <cfRule type="cellIs" dxfId="13" priority="4391" operator="equal">
      <formula>"优化"</formula>
    </cfRule>
    <cfRule type="cellIs" dxfId="12" priority="4389" operator="equal">
      <formula>"更新"</formula>
    </cfRule>
    <cfRule type="cellIs" dxfId="11" priority="4387" operator="equal">
      <formula>"废弃"</formula>
    </cfRule>
    <cfRule type="cellIs" dxfId="1" priority="4373" operator="equal">
      <formula>"新增"</formula>
    </cfRule>
  </conditionalFormatting>
  <conditionalFormatting sqref="L155">
    <cfRule type="cellIs" dxfId="1" priority="646" operator="equal">
      <formula>"通过"</formula>
    </cfRule>
    <cfRule type="cellIs" dxfId="0" priority="479" operator="equal">
      <formula>"不通过"</formula>
    </cfRule>
    <cfRule type="cellIs" dxfId="8" priority="312" operator="equal">
      <formula>"堵塞"</formula>
    </cfRule>
  </conditionalFormatting>
  <conditionalFormatting sqref="C156">
    <cfRule type="cellIs" dxfId="10" priority="4370" operator="equal">
      <formula>"1级"</formula>
    </cfRule>
    <cfRule type="cellIs" dxfId="2" priority="4369" operator="equal">
      <formula>"2级"</formula>
    </cfRule>
    <cfRule type="cellIs" dxfId="9" priority="4368" operator="equal">
      <formula>"3级"</formula>
    </cfRule>
  </conditionalFormatting>
  <conditionalFormatting sqref="E156">
    <cfRule type="cellIs" dxfId="7" priority="4367" operator="equal">
      <formula>"500/510/IVOC"</formula>
    </cfRule>
    <cfRule type="cellIs" dxfId="6" priority="4366" operator="equal">
      <formula>"500/510"</formula>
    </cfRule>
    <cfRule type="cellIs" dxfId="5" priority="4365" operator="equal">
      <formula>"IVOC"</formula>
    </cfRule>
    <cfRule type="cellIs" dxfId="2" priority="4364" operator="equal">
      <formula>"新增"</formula>
    </cfRule>
    <cfRule type="cellIs" dxfId="13" priority="4363" operator="equal">
      <formula>"优化"</formula>
    </cfRule>
    <cfRule type="cellIs" dxfId="12" priority="4362" operator="equal">
      <formula>"更新"</formula>
    </cfRule>
    <cfRule type="cellIs" dxfId="11" priority="4361" operator="equal">
      <formula>"废弃"</formula>
    </cfRule>
    <cfRule type="cellIs" dxfId="1" priority="4354" operator="equal">
      <formula>"新增"</formula>
    </cfRule>
  </conditionalFormatting>
  <conditionalFormatting sqref="L156">
    <cfRule type="cellIs" dxfId="1" priority="645" operator="equal">
      <formula>"通过"</formula>
    </cfRule>
    <cfRule type="cellIs" dxfId="0" priority="478" operator="equal">
      <formula>"不通过"</formula>
    </cfRule>
    <cfRule type="cellIs" dxfId="8" priority="311" operator="equal">
      <formula>"堵塞"</formula>
    </cfRule>
  </conditionalFormatting>
  <conditionalFormatting sqref="C157">
    <cfRule type="cellIs" dxfId="10" priority="4352" operator="equal">
      <formula>"1级"</formula>
    </cfRule>
    <cfRule type="cellIs" dxfId="2" priority="4351" operator="equal">
      <formula>"2级"</formula>
    </cfRule>
    <cfRule type="cellIs" dxfId="9" priority="4350" operator="equal">
      <formula>"3级"</formula>
    </cfRule>
  </conditionalFormatting>
  <conditionalFormatting sqref="E157">
    <cfRule type="cellIs" dxfId="7" priority="4349" operator="equal">
      <formula>"500/510/IVOC"</formula>
    </cfRule>
    <cfRule type="cellIs" dxfId="6" priority="4348" operator="equal">
      <formula>"500/510"</formula>
    </cfRule>
    <cfRule type="cellIs" dxfId="5" priority="4347" operator="equal">
      <formula>"IVOC"</formula>
    </cfRule>
    <cfRule type="cellIs" dxfId="2" priority="4346" operator="equal">
      <formula>"新增"</formula>
    </cfRule>
    <cfRule type="cellIs" dxfId="13" priority="4345" operator="equal">
      <formula>"优化"</formula>
    </cfRule>
    <cfRule type="cellIs" dxfId="12" priority="4344" operator="equal">
      <formula>"更新"</formula>
    </cfRule>
    <cfRule type="cellIs" dxfId="11" priority="4343" operator="equal">
      <formula>"废弃"</formula>
    </cfRule>
    <cfRule type="cellIs" dxfId="1" priority="4336" operator="equal">
      <formula>"新增"</formula>
    </cfRule>
  </conditionalFormatting>
  <conditionalFormatting sqref="L157">
    <cfRule type="cellIs" dxfId="1" priority="644" operator="equal">
      <formula>"通过"</formula>
    </cfRule>
    <cfRule type="cellIs" dxfId="0" priority="477" operator="equal">
      <formula>"不通过"</formula>
    </cfRule>
    <cfRule type="cellIs" dxfId="8" priority="310" operator="equal">
      <formula>"堵塞"</formula>
    </cfRule>
  </conditionalFormatting>
  <conditionalFormatting sqref="C158">
    <cfRule type="cellIs" dxfId="10" priority="4334" operator="equal">
      <formula>"1级"</formula>
    </cfRule>
    <cfRule type="cellIs" dxfId="2" priority="4333" operator="equal">
      <formula>"2级"</formula>
    </cfRule>
    <cfRule type="cellIs" dxfId="9" priority="4332" operator="equal">
      <formula>"3级"</formula>
    </cfRule>
  </conditionalFormatting>
  <conditionalFormatting sqref="E158">
    <cfRule type="cellIs" dxfId="7" priority="4331" operator="equal">
      <formula>"500/510/IVOC"</formula>
    </cfRule>
    <cfRule type="cellIs" dxfId="6" priority="4330" operator="equal">
      <formula>"500/510"</formula>
    </cfRule>
    <cfRule type="cellIs" dxfId="5" priority="4329" operator="equal">
      <formula>"IVOC"</formula>
    </cfRule>
    <cfRule type="cellIs" dxfId="2" priority="4328" operator="equal">
      <formula>"新增"</formula>
    </cfRule>
    <cfRule type="cellIs" dxfId="13" priority="4327" operator="equal">
      <formula>"优化"</formula>
    </cfRule>
    <cfRule type="cellIs" dxfId="12" priority="4326" operator="equal">
      <formula>"更新"</formula>
    </cfRule>
    <cfRule type="cellIs" dxfId="11" priority="4325" operator="equal">
      <formula>"废弃"</formula>
    </cfRule>
    <cfRule type="cellIs" dxfId="1" priority="4318" operator="equal">
      <formula>"新增"</formula>
    </cfRule>
  </conditionalFormatting>
  <conditionalFormatting sqref="L158">
    <cfRule type="cellIs" dxfId="1" priority="643" operator="equal">
      <formula>"通过"</formula>
    </cfRule>
    <cfRule type="cellIs" dxfId="0" priority="476" operator="equal">
      <formula>"不通过"</formula>
    </cfRule>
    <cfRule type="cellIs" dxfId="8" priority="309" operator="equal">
      <formula>"堵塞"</formula>
    </cfRule>
  </conditionalFormatting>
  <conditionalFormatting sqref="C159">
    <cfRule type="cellIs" dxfId="10" priority="4316" operator="equal">
      <formula>"1级"</formula>
    </cfRule>
    <cfRule type="cellIs" dxfId="2" priority="4315" operator="equal">
      <formula>"2级"</formula>
    </cfRule>
    <cfRule type="cellIs" dxfId="9" priority="4314" operator="equal">
      <formula>"3级"</formula>
    </cfRule>
  </conditionalFormatting>
  <conditionalFormatting sqref="E159">
    <cfRule type="cellIs" dxfId="7" priority="4313" operator="equal">
      <formula>"500/510/IVOC"</formula>
    </cfRule>
    <cfRule type="cellIs" dxfId="6" priority="4312" operator="equal">
      <formula>"500/510"</formula>
    </cfRule>
    <cfRule type="cellIs" dxfId="5" priority="4311" operator="equal">
      <formula>"IVOC"</formula>
    </cfRule>
    <cfRule type="cellIs" dxfId="2" priority="4310" operator="equal">
      <formula>"新增"</formula>
    </cfRule>
    <cfRule type="cellIs" dxfId="13" priority="4309" operator="equal">
      <formula>"优化"</formula>
    </cfRule>
    <cfRule type="cellIs" dxfId="12" priority="4308" operator="equal">
      <formula>"更新"</formula>
    </cfRule>
    <cfRule type="cellIs" dxfId="11" priority="4307" operator="equal">
      <formula>"废弃"</formula>
    </cfRule>
    <cfRule type="cellIs" dxfId="1" priority="4300" operator="equal">
      <formula>"新增"</formula>
    </cfRule>
  </conditionalFormatting>
  <conditionalFormatting sqref="L159">
    <cfRule type="cellIs" dxfId="1" priority="642" operator="equal">
      <formula>"通过"</formula>
    </cfRule>
    <cfRule type="cellIs" dxfId="0" priority="475" operator="equal">
      <formula>"不通过"</formula>
    </cfRule>
    <cfRule type="cellIs" dxfId="8" priority="308" operator="equal">
      <formula>"堵塞"</formula>
    </cfRule>
  </conditionalFormatting>
  <conditionalFormatting sqref="C160">
    <cfRule type="cellIs" dxfId="10" priority="4298" operator="equal">
      <formula>"1级"</formula>
    </cfRule>
    <cfRule type="cellIs" dxfId="2" priority="4297" operator="equal">
      <formula>"2级"</formula>
    </cfRule>
    <cfRule type="cellIs" dxfId="9" priority="4296" operator="equal">
      <formula>"3级"</formula>
    </cfRule>
  </conditionalFormatting>
  <conditionalFormatting sqref="E160">
    <cfRule type="cellIs" dxfId="7" priority="4295" operator="equal">
      <formula>"500/510/IVOC"</formula>
    </cfRule>
    <cfRule type="cellIs" dxfId="6" priority="4294" operator="equal">
      <formula>"500/510"</formula>
    </cfRule>
    <cfRule type="cellIs" dxfId="5" priority="4293" operator="equal">
      <formula>"IVOC"</formula>
    </cfRule>
    <cfRule type="cellIs" dxfId="2" priority="4292" operator="equal">
      <formula>"新增"</formula>
    </cfRule>
    <cfRule type="cellIs" dxfId="13" priority="4291" operator="equal">
      <formula>"优化"</formula>
    </cfRule>
    <cfRule type="cellIs" dxfId="12" priority="4290" operator="equal">
      <formula>"更新"</formula>
    </cfRule>
    <cfRule type="cellIs" dxfId="11" priority="4289" operator="equal">
      <formula>"废弃"</formula>
    </cfRule>
    <cfRule type="cellIs" dxfId="1" priority="4282" operator="equal">
      <formula>"新增"</formula>
    </cfRule>
  </conditionalFormatting>
  <conditionalFormatting sqref="L160">
    <cfRule type="cellIs" dxfId="1" priority="641" operator="equal">
      <formula>"通过"</formula>
    </cfRule>
    <cfRule type="cellIs" dxfId="0" priority="474" operator="equal">
      <formula>"不通过"</formula>
    </cfRule>
    <cfRule type="cellIs" dxfId="8" priority="307" operator="equal">
      <formula>"堵塞"</formula>
    </cfRule>
  </conditionalFormatting>
  <conditionalFormatting sqref="C161">
    <cfRule type="cellIs" dxfId="10" priority="4280" operator="equal">
      <formula>"1级"</formula>
    </cfRule>
    <cfRule type="cellIs" dxfId="2" priority="4279" operator="equal">
      <formula>"2级"</formula>
    </cfRule>
    <cfRule type="cellIs" dxfId="9" priority="4278" operator="equal">
      <formula>"3级"</formula>
    </cfRule>
  </conditionalFormatting>
  <conditionalFormatting sqref="E161">
    <cfRule type="cellIs" dxfId="7" priority="4277" operator="equal">
      <formula>"500/510/IVOC"</formula>
    </cfRule>
    <cfRule type="cellIs" dxfId="6" priority="4276" operator="equal">
      <formula>"500/510"</formula>
    </cfRule>
    <cfRule type="cellIs" dxfId="5" priority="4275" operator="equal">
      <formula>"IVOC"</formula>
    </cfRule>
    <cfRule type="cellIs" dxfId="2" priority="4274" operator="equal">
      <formula>"新增"</formula>
    </cfRule>
    <cfRule type="cellIs" dxfId="13" priority="4273" operator="equal">
      <formula>"优化"</formula>
    </cfRule>
    <cfRule type="cellIs" dxfId="12" priority="4272" operator="equal">
      <formula>"更新"</formula>
    </cfRule>
    <cfRule type="cellIs" dxfId="11" priority="4271" operator="equal">
      <formula>"废弃"</formula>
    </cfRule>
    <cfRule type="cellIs" dxfId="1" priority="4264" operator="equal">
      <formula>"新增"</formula>
    </cfRule>
  </conditionalFormatting>
  <conditionalFormatting sqref="L161">
    <cfRule type="cellIs" dxfId="1" priority="640" operator="equal">
      <formula>"通过"</formula>
    </cfRule>
    <cfRule type="cellIs" dxfId="0" priority="473" operator="equal">
      <formula>"不通过"</formula>
    </cfRule>
    <cfRule type="cellIs" dxfId="8" priority="306" operator="equal">
      <formula>"堵塞"</formula>
    </cfRule>
  </conditionalFormatting>
  <conditionalFormatting sqref="C162">
    <cfRule type="cellIs" dxfId="10" priority="4262" operator="equal">
      <formula>"1级"</formula>
    </cfRule>
    <cfRule type="cellIs" dxfId="2" priority="4261" operator="equal">
      <formula>"2级"</formula>
    </cfRule>
    <cfRule type="cellIs" dxfId="9" priority="4260" operator="equal">
      <formula>"3级"</formula>
    </cfRule>
  </conditionalFormatting>
  <conditionalFormatting sqref="E162">
    <cfRule type="cellIs" dxfId="7" priority="4259" operator="equal">
      <formula>"500/510/IVOC"</formula>
    </cfRule>
    <cfRule type="cellIs" dxfId="6" priority="4258" operator="equal">
      <formula>"500/510"</formula>
    </cfRule>
    <cfRule type="cellIs" dxfId="5" priority="4257" operator="equal">
      <formula>"IVOC"</formula>
    </cfRule>
    <cfRule type="cellIs" dxfId="2" priority="4256" operator="equal">
      <formula>"新增"</formula>
    </cfRule>
    <cfRule type="cellIs" dxfId="13" priority="4255" operator="equal">
      <formula>"优化"</formula>
    </cfRule>
    <cfRule type="cellIs" dxfId="12" priority="4254" operator="equal">
      <formula>"更新"</formula>
    </cfRule>
    <cfRule type="cellIs" dxfId="11" priority="4253" operator="equal">
      <formula>"废弃"</formula>
    </cfRule>
    <cfRule type="cellIs" dxfId="1" priority="4246" operator="equal">
      <formula>"新增"</formula>
    </cfRule>
  </conditionalFormatting>
  <conditionalFormatting sqref="L162">
    <cfRule type="cellIs" dxfId="1" priority="639" operator="equal">
      <formula>"通过"</formula>
    </cfRule>
    <cfRule type="cellIs" dxfId="0" priority="472" operator="equal">
      <formula>"不通过"</formula>
    </cfRule>
    <cfRule type="cellIs" dxfId="8" priority="305" operator="equal">
      <formula>"堵塞"</formula>
    </cfRule>
  </conditionalFormatting>
  <conditionalFormatting sqref="C163">
    <cfRule type="cellIs" dxfId="10" priority="4244" operator="equal">
      <formula>"1级"</formula>
    </cfRule>
    <cfRule type="cellIs" dxfId="2" priority="4240" operator="equal">
      <formula>"2级"</formula>
    </cfRule>
    <cfRule type="cellIs" dxfId="9" priority="4236" operator="equal">
      <formula>"3级"</formula>
    </cfRule>
  </conditionalFormatting>
  <conditionalFormatting sqref="E163">
    <cfRule type="cellIs" dxfId="7" priority="4232" operator="equal">
      <formula>"500/510/IVOC"</formula>
    </cfRule>
    <cfRule type="cellIs" dxfId="6" priority="4228" operator="equal">
      <formula>"500/510"</formula>
    </cfRule>
    <cfRule type="cellIs" dxfId="5" priority="4224" operator="equal">
      <formula>"IVOC"</formula>
    </cfRule>
    <cfRule type="cellIs" dxfId="2" priority="4220" operator="equal">
      <formula>"新增"</formula>
    </cfRule>
    <cfRule type="cellIs" dxfId="13" priority="4216" operator="equal">
      <formula>"优化"</formula>
    </cfRule>
    <cfRule type="cellIs" dxfId="12" priority="4212" operator="equal">
      <formula>"更新"</formula>
    </cfRule>
    <cfRule type="cellIs" dxfId="11" priority="4208" operator="equal">
      <formula>"废弃"</formula>
    </cfRule>
    <cfRule type="cellIs" dxfId="1" priority="4180" operator="equal">
      <formula>"新增"</formula>
    </cfRule>
  </conditionalFormatting>
  <conditionalFormatting sqref="L163">
    <cfRule type="cellIs" dxfId="1" priority="638" operator="equal">
      <formula>"通过"</formula>
    </cfRule>
    <cfRule type="cellIs" dxfId="0" priority="471" operator="equal">
      <formula>"不通过"</formula>
    </cfRule>
    <cfRule type="cellIs" dxfId="8" priority="304" operator="equal">
      <formula>"堵塞"</formula>
    </cfRule>
  </conditionalFormatting>
  <conditionalFormatting sqref="C164">
    <cfRule type="cellIs" dxfId="10" priority="4243" operator="equal">
      <formula>"1级"</formula>
    </cfRule>
    <cfRule type="cellIs" dxfId="2" priority="4239" operator="equal">
      <formula>"2级"</formula>
    </cfRule>
    <cfRule type="cellIs" dxfId="9" priority="4235" operator="equal">
      <formula>"3级"</formula>
    </cfRule>
  </conditionalFormatting>
  <conditionalFormatting sqref="E164">
    <cfRule type="cellIs" dxfId="7" priority="4231" operator="equal">
      <formula>"500/510/IVOC"</formula>
    </cfRule>
    <cfRule type="cellIs" dxfId="6" priority="4227" operator="equal">
      <formula>"500/510"</formula>
    </cfRule>
    <cfRule type="cellIs" dxfId="5" priority="4223" operator="equal">
      <formula>"IVOC"</formula>
    </cfRule>
    <cfRule type="cellIs" dxfId="2" priority="4219" operator="equal">
      <formula>"新增"</formula>
    </cfRule>
    <cfRule type="cellIs" dxfId="13" priority="4215" operator="equal">
      <formula>"优化"</formula>
    </cfRule>
    <cfRule type="cellIs" dxfId="12" priority="4211" operator="equal">
      <formula>"更新"</formula>
    </cfRule>
    <cfRule type="cellIs" dxfId="11" priority="4207" operator="equal">
      <formula>"废弃"</formula>
    </cfRule>
    <cfRule type="cellIs" dxfId="1" priority="4179" operator="equal">
      <formula>"新增"</formula>
    </cfRule>
  </conditionalFormatting>
  <conditionalFormatting sqref="L164">
    <cfRule type="cellIs" dxfId="1" priority="637" operator="equal">
      <formula>"通过"</formula>
    </cfRule>
    <cfRule type="cellIs" dxfId="0" priority="470" operator="equal">
      <formula>"不通过"</formula>
    </cfRule>
    <cfRule type="cellIs" dxfId="8" priority="303" operator="equal">
      <formula>"堵塞"</formula>
    </cfRule>
  </conditionalFormatting>
  <conditionalFormatting sqref="C165">
    <cfRule type="cellIs" dxfId="10" priority="4242" operator="equal">
      <formula>"1级"</formula>
    </cfRule>
    <cfRule type="cellIs" dxfId="2" priority="4238" operator="equal">
      <formula>"2级"</formula>
    </cfRule>
    <cfRule type="cellIs" dxfId="9" priority="4234" operator="equal">
      <formula>"3级"</formula>
    </cfRule>
  </conditionalFormatting>
  <conditionalFormatting sqref="E165">
    <cfRule type="cellIs" dxfId="7" priority="4230" operator="equal">
      <formula>"500/510/IVOC"</formula>
    </cfRule>
    <cfRule type="cellIs" dxfId="6" priority="4226" operator="equal">
      <formula>"500/510"</formula>
    </cfRule>
    <cfRule type="cellIs" dxfId="5" priority="4222" operator="equal">
      <formula>"IVOC"</formula>
    </cfRule>
    <cfRule type="cellIs" dxfId="2" priority="4218" operator="equal">
      <formula>"新增"</formula>
    </cfRule>
    <cfRule type="cellIs" dxfId="13" priority="4214" operator="equal">
      <formula>"优化"</formula>
    </cfRule>
    <cfRule type="cellIs" dxfId="12" priority="4210" operator="equal">
      <formula>"更新"</formula>
    </cfRule>
    <cfRule type="cellIs" dxfId="11" priority="4206" operator="equal">
      <formula>"废弃"</formula>
    </cfRule>
    <cfRule type="cellIs" dxfId="1" priority="4178" operator="equal">
      <formula>"新增"</formula>
    </cfRule>
  </conditionalFormatting>
  <conditionalFormatting sqref="L165">
    <cfRule type="cellIs" dxfId="1" priority="636" operator="equal">
      <formula>"通过"</formula>
    </cfRule>
    <cfRule type="cellIs" dxfId="0" priority="469" operator="equal">
      <formula>"不通过"</formula>
    </cfRule>
    <cfRule type="cellIs" dxfId="8" priority="302" operator="equal">
      <formula>"堵塞"</formula>
    </cfRule>
  </conditionalFormatting>
  <conditionalFormatting sqref="C166">
    <cfRule type="cellIs" dxfId="10" priority="4241" operator="equal">
      <formula>"1级"</formula>
    </cfRule>
    <cfRule type="cellIs" dxfId="2" priority="4237" operator="equal">
      <formula>"2级"</formula>
    </cfRule>
    <cfRule type="cellIs" dxfId="9" priority="4233" operator="equal">
      <formula>"3级"</formula>
    </cfRule>
  </conditionalFormatting>
  <conditionalFormatting sqref="E166">
    <cfRule type="cellIs" dxfId="7" priority="4229" operator="equal">
      <formula>"500/510/IVOC"</formula>
    </cfRule>
    <cfRule type="cellIs" dxfId="6" priority="4225" operator="equal">
      <formula>"500/510"</formula>
    </cfRule>
    <cfRule type="cellIs" dxfId="5" priority="4221" operator="equal">
      <formula>"IVOC"</formula>
    </cfRule>
    <cfRule type="cellIs" dxfId="2" priority="4217" operator="equal">
      <formula>"新增"</formula>
    </cfRule>
    <cfRule type="cellIs" dxfId="13" priority="4213" operator="equal">
      <formula>"优化"</formula>
    </cfRule>
    <cfRule type="cellIs" dxfId="12" priority="4209" operator="equal">
      <formula>"更新"</formula>
    </cfRule>
    <cfRule type="cellIs" dxfId="11" priority="4205" operator="equal">
      <formula>"废弃"</formula>
    </cfRule>
    <cfRule type="cellIs" dxfId="1" priority="4177" operator="equal">
      <formula>"新增"</formula>
    </cfRule>
  </conditionalFormatting>
  <conditionalFormatting sqref="L166">
    <cfRule type="cellIs" dxfId="1" priority="635" operator="equal">
      <formula>"通过"</formula>
    </cfRule>
    <cfRule type="cellIs" dxfId="0" priority="468" operator="equal">
      <formula>"不通过"</formula>
    </cfRule>
    <cfRule type="cellIs" dxfId="8" priority="301" operator="equal">
      <formula>"堵塞"</formula>
    </cfRule>
  </conditionalFormatting>
  <conditionalFormatting sqref="C167">
    <cfRule type="cellIs" dxfId="10" priority="4172" operator="equal">
      <formula>"1级"</formula>
    </cfRule>
    <cfRule type="cellIs" dxfId="2" priority="4171" operator="equal">
      <formula>"2级"</formula>
    </cfRule>
    <cfRule type="cellIs" dxfId="9" priority="4170" operator="equal">
      <formula>"3级"</formula>
    </cfRule>
  </conditionalFormatting>
  <conditionalFormatting sqref="E167">
    <cfRule type="cellIs" dxfId="7" priority="4169" operator="equal">
      <formula>"500/510/IVOC"</formula>
    </cfRule>
    <cfRule type="cellIs" dxfId="6" priority="4168" operator="equal">
      <formula>"500/510"</formula>
    </cfRule>
    <cfRule type="cellIs" dxfId="5" priority="4167" operator="equal">
      <formula>"IVOC"</formula>
    </cfRule>
    <cfRule type="cellIs" dxfId="2" priority="4166" operator="equal">
      <formula>"新增"</formula>
    </cfRule>
    <cfRule type="cellIs" dxfId="13" priority="4165" operator="equal">
      <formula>"优化"</formula>
    </cfRule>
    <cfRule type="cellIs" dxfId="12" priority="4164" operator="equal">
      <formula>"更新"</formula>
    </cfRule>
    <cfRule type="cellIs" dxfId="11" priority="4163" operator="equal">
      <formula>"废弃"</formula>
    </cfRule>
    <cfRule type="cellIs" dxfId="1" priority="4156" operator="equal">
      <formula>"新增"</formula>
    </cfRule>
  </conditionalFormatting>
  <conditionalFormatting sqref="L167">
    <cfRule type="cellIs" dxfId="1" priority="634" operator="equal">
      <formula>"通过"</formula>
    </cfRule>
    <cfRule type="cellIs" dxfId="0" priority="467" operator="equal">
      <formula>"不通过"</formula>
    </cfRule>
    <cfRule type="cellIs" dxfId="8" priority="300" operator="equal">
      <formula>"堵塞"</formula>
    </cfRule>
  </conditionalFormatting>
  <conditionalFormatting sqref="C168">
    <cfRule type="cellIs" dxfId="10" priority="4154" operator="equal">
      <formula>"1级"</formula>
    </cfRule>
    <cfRule type="cellIs" dxfId="2" priority="4150" operator="equal">
      <formula>"2级"</formula>
    </cfRule>
    <cfRule type="cellIs" dxfId="9" priority="4146" operator="equal">
      <formula>"3级"</formula>
    </cfRule>
  </conditionalFormatting>
  <conditionalFormatting sqref="E168">
    <cfRule type="cellIs" dxfId="7" priority="4142" operator="equal">
      <formula>"500/510/IVOC"</formula>
    </cfRule>
    <cfRule type="cellIs" dxfId="6" priority="4138" operator="equal">
      <formula>"500/510"</formula>
    </cfRule>
    <cfRule type="cellIs" dxfId="5" priority="4134" operator="equal">
      <formula>"IVOC"</formula>
    </cfRule>
    <cfRule type="cellIs" dxfId="2" priority="4130" operator="equal">
      <formula>"新增"</formula>
    </cfRule>
    <cfRule type="cellIs" dxfId="13" priority="4126" operator="equal">
      <formula>"优化"</formula>
    </cfRule>
    <cfRule type="cellIs" dxfId="12" priority="4122" operator="equal">
      <formula>"更新"</formula>
    </cfRule>
    <cfRule type="cellIs" dxfId="11" priority="4118" operator="equal">
      <formula>"废弃"</formula>
    </cfRule>
    <cfRule type="cellIs" dxfId="1" priority="4090" operator="equal">
      <formula>"新增"</formula>
    </cfRule>
  </conditionalFormatting>
  <conditionalFormatting sqref="L168">
    <cfRule type="cellIs" dxfId="1" priority="633" operator="equal">
      <formula>"通过"</formula>
    </cfRule>
    <cfRule type="cellIs" dxfId="0" priority="466" operator="equal">
      <formula>"不通过"</formula>
    </cfRule>
    <cfRule type="cellIs" dxfId="8" priority="299" operator="equal">
      <formula>"堵塞"</formula>
    </cfRule>
  </conditionalFormatting>
  <conditionalFormatting sqref="C169">
    <cfRule type="cellIs" dxfId="10" priority="4153" operator="equal">
      <formula>"1级"</formula>
    </cfRule>
    <cfRule type="cellIs" dxfId="2" priority="4149" operator="equal">
      <formula>"2级"</formula>
    </cfRule>
    <cfRule type="cellIs" dxfId="9" priority="4145" operator="equal">
      <formula>"3级"</formula>
    </cfRule>
  </conditionalFormatting>
  <conditionalFormatting sqref="E169">
    <cfRule type="cellIs" dxfId="7" priority="4141" operator="equal">
      <formula>"500/510/IVOC"</formula>
    </cfRule>
    <cfRule type="cellIs" dxfId="6" priority="4137" operator="equal">
      <formula>"500/510"</formula>
    </cfRule>
    <cfRule type="cellIs" dxfId="5" priority="4133" operator="equal">
      <formula>"IVOC"</formula>
    </cfRule>
    <cfRule type="cellIs" dxfId="2" priority="4129" operator="equal">
      <formula>"新增"</formula>
    </cfRule>
    <cfRule type="cellIs" dxfId="13" priority="4125" operator="equal">
      <formula>"优化"</formula>
    </cfRule>
    <cfRule type="cellIs" dxfId="12" priority="4121" operator="equal">
      <formula>"更新"</formula>
    </cfRule>
    <cfRule type="cellIs" dxfId="11" priority="4117" operator="equal">
      <formula>"废弃"</formula>
    </cfRule>
    <cfRule type="cellIs" dxfId="1" priority="4089" operator="equal">
      <formula>"新增"</formula>
    </cfRule>
  </conditionalFormatting>
  <conditionalFormatting sqref="L169">
    <cfRule type="cellIs" dxfId="1" priority="632" operator="equal">
      <formula>"通过"</formula>
    </cfRule>
    <cfRule type="cellIs" dxfId="0" priority="465" operator="equal">
      <formula>"不通过"</formula>
    </cfRule>
    <cfRule type="cellIs" dxfId="8" priority="298" operator="equal">
      <formula>"堵塞"</formula>
    </cfRule>
  </conditionalFormatting>
  <conditionalFormatting sqref="C170">
    <cfRule type="cellIs" dxfId="10" priority="4152" operator="equal">
      <formula>"1级"</formula>
    </cfRule>
    <cfRule type="cellIs" dxfId="2" priority="4148" operator="equal">
      <formula>"2级"</formula>
    </cfRule>
    <cfRule type="cellIs" dxfId="9" priority="4144" operator="equal">
      <formula>"3级"</formula>
    </cfRule>
  </conditionalFormatting>
  <conditionalFormatting sqref="E170">
    <cfRule type="cellIs" dxfId="7" priority="4140" operator="equal">
      <formula>"500/510/IVOC"</formula>
    </cfRule>
    <cfRule type="cellIs" dxfId="6" priority="4136" operator="equal">
      <formula>"500/510"</formula>
    </cfRule>
    <cfRule type="cellIs" dxfId="5" priority="4132" operator="equal">
      <formula>"IVOC"</formula>
    </cfRule>
    <cfRule type="cellIs" dxfId="2" priority="4128" operator="equal">
      <formula>"新增"</formula>
    </cfRule>
    <cfRule type="cellIs" dxfId="13" priority="4124" operator="equal">
      <formula>"优化"</formula>
    </cfRule>
    <cfRule type="cellIs" dxfId="12" priority="4120" operator="equal">
      <formula>"更新"</formula>
    </cfRule>
    <cfRule type="cellIs" dxfId="11" priority="4116" operator="equal">
      <formula>"废弃"</formula>
    </cfRule>
    <cfRule type="cellIs" dxfId="1" priority="4088" operator="equal">
      <formula>"新增"</formula>
    </cfRule>
  </conditionalFormatting>
  <conditionalFormatting sqref="L170">
    <cfRule type="cellIs" dxfId="1" priority="631" operator="equal">
      <formula>"通过"</formula>
    </cfRule>
    <cfRule type="cellIs" dxfId="0" priority="464" operator="equal">
      <formula>"不通过"</formula>
    </cfRule>
    <cfRule type="cellIs" dxfId="8" priority="297" operator="equal">
      <formula>"堵塞"</formula>
    </cfRule>
  </conditionalFormatting>
  <conditionalFormatting sqref="C171">
    <cfRule type="cellIs" dxfId="10" priority="4151" operator="equal">
      <formula>"1级"</formula>
    </cfRule>
    <cfRule type="cellIs" dxfId="2" priority="4147" operator="equal">
      <formula>"2级"</formula>
    </cfRule>
    <cfRule type="cellIs" dxfId="9" priority="4143" operator="equal">
      <formula>"3级"</formula>
    </cfRule>
  </conditionalFormatting>
  <conditionalFormatting sqref="E171">
    <cfRule type="cellIs" dxfId="7" priority="4139" operator="equal">
      <formula>"500/510/IVOC"</formula>
    </cfRule>
    <cfRule type="cellIs" dxfId="6" priority="4135" operator="equal">
      <formula>"500/510"</formula>
    </cfRule>
    <cfRule type="cellIs" dxfId="5" priority="4131" operator="equal">
      <formula>"IVOC"</formula>
    </cfRule>
    <cfRule type="cellIs" dxfId="2" priority="4127" operator="equal">
      <formula>"新增"</formula>
    </cfRule>
    <cfRule type="cellIs" dxfId="13" priority="4123" operator="equal">
      <formula>"优化"</formula>
    </cfRule>
    <cfRule type="cellIs" dxfId="12" priority="4119" operator="equal">
      <formula>"更新"</formula>
    </cfRule>
    <cfRule type="cellIs" dxfId="11" priority="4115" operator="equal">
      <formula>"废弃"</formula>
    </cfRule>
    <cfRule type="cellIs" dxfId="1" priority="4087" operator="equal">
      <formula>"新增"</formula>
    </cfRule>
  </conditionalFormatting>
  <conditionalFormatting sqref="L171">
    <cfRule type="cellIs" dxfId="1" priority="630" operator="equal">
      <formula>"通过"</formula>
    </cfRule>
    <cfRule type="cellIs" dxfId="0" priority="463" operator="equal">
      <formula>"不通过"</formula>
    </cfRule>
    <cfRule type="cellIs" dxfId="8" priority="296" operator="equal">
      <formula>"堵塞"</formula>
    </cfRule>
  </conditionalFormatting>
  <conditionalFormatting sqref="C172">
    <cfRule type="cellIs" dxfId="10" priority="4082" operator="equal">
      <formula>"1级"</formula>
    </cfRule>
    <cfRule type="cellIs" dxfId="2" priority="4081" operator="equal">
      <formula>"2级"</formula>
    </cfRule>
    <cfRule type="cellIs" dxfId="9" priority="4080" operator="equal">
      <formula>"3级"</formula>
    </cfRule>
  </conditionalFormatting>
  <conditionalFormatting sqref="E172">
    <cfRule type="cellIs" dxfId="7" priority="4079" operator="equal">
      <formula>"500/510/IVOC"</formula>
    </cfRule>
    <cfRule type="cellIs" dxfId="6" priority="4078" operator="equal">
      <formula>"500/510"</formula>
    </cfRule>
    <cfRule type="cellIs" dxfId="5" priority="4077" operator="equal">
      <formula>"IVOC"</formula>
    </cfRule>
    <cfRule type="cellIs" dxfId="2" priority="4076" operator="equal">
      <formula>"新增"</formula>
    </cfRule>
    <cfRule type="cellIs" dxfId="13" priority="4075" operator="equal">
      <formula>"优化"</formula>
    </cfRule>
    <cfRule type="cellIs" dxfId="12" priority="4074" operator="equal">
      <formula>"更新"</formula>
    </cfRule>
    <cfRule type="cellIs" dxfId="11" priority="4073" operator="equal">
      <formula>"废弃"</formula>
    </cfRule>
    <cfRule type="cellIs" dxfId="1" priority="4066" operator="equal">
      <formula>"新增"</formula>
    </cfRule>
  </conditionalFormatting>
  <conditionalFormatting sqref="L172">
    <cfRule type="cellIs" dxfId="1" priority="629" operator="equal">
      <formula>"通过"</formula>
    </cfRule>
    <cfRule type="cellIs" dxfId="0" priority="462" operator="equal">
      <formula>"不通过"</formula>
    </cfRule>
    <cfRule type="cellIs" dxfId="8" priority="295" operator="equal">
      <formula>"堵塞"</formula>
    </cfRule>
  </conditionalFormatting>
  <conditionalFormatting sqref="C173">
    <cfRule type="cellIs" dxfId="10" priority="4064" operator="equal">
      <formula>"1级"</formula>
    </cfRule>
    <cfRule type="cellIs" dxfId="2" priority="4060" operator="equal">
      <formula>"2级"</formula>
    </cfRule>
    <cfRule type="cellIs" dxfId="9" priority="4056" operator="equal">
      <formula>"3级"</formula>
    </cfRule>
  </conditionalFormatting>
  <conditionalFormatting sqref="E173">
    <cfRule type="cellIs" dxfId="7" priority="4052" operator="equal">
      <formula>"500/510/IVOC"</formula>
    </cfRule>
    <cfRule type="cellIs" dxfId="6" priority="4048" operator="equal">
      <formula>"500/510"</formula>
    </cfRule>
    <cfRule type="cellIs" dxfId="5" priority="4044" operator="equal">
      <formula>"IVOC"</formula>
    </cfRule>
    <cfRule type="cellIs" dxfId="2" priority="4040" operator="equal">
      <formula>"新增"</formula>
    </cfRule>
    <cfRule type="cellIs" dxfId="13" priority="4036" operator="equal">
      <formula>"优化"</formula>
    </cfRule>
    <cfRule type="cellIs" dxfId="12" priority="4032" operator="equal">
      <formula>"更新"</formula>
    </cfRule>
    <cfRule type="cellIs" dxfId="11" priority="4028" operator="equal">
      <formula>"废弃"</formula>
    </cfRule>
    <cfRule type="cellIs" dxfId="1" priority="4000" operator="equal">
      <formula>"新增"</formula>
    </cfRule>
  </conditionalFormatting>
  <conditionalFormatting sqref="L173">
    <cfRule type="cellIs" dxfId="1" priority="628" operator="equal">
      <formula>"通过"</formula>
    </cfRule>
    <cfRule type="cellIs" dxfId="0" priority="461" operator="equal">
      <formula>"不通过"</formula>
    </cfRule>
    <cfRule type="cellIs" dxfId="8" priority="294" operator="equal">
      <formula>"堵塞"</formula>
    </cfRule>
  </conditionalFormatting>
  <conditionalFormatting sqref="C174">
    <cfRule type="cellIs" dxfId="10" priority="4063" operator="equal">
      <formula>"1级"</formula>
    </cfRule>
    <cfRule type="cellIs" dxfId="2" priority="4059" operator="equal">
      <formula>"2级"</formula>
    </cfRule>
    <cfRule type="cellIs" dxfId="9" priority="4055" operator="equal">
      <formula>"3级"</formula>
    </cfRule>
  </conditionalFormatting>
  <conditionalFormatting sqref="E174">
    <cfRule type="cellIs" dxfId="7" priority="4051" operator="equal">
      <formula>"500/510/IVOC"</formula>
    </cfRule>
    <cfRule type="cellIs" dxfId="6" priority="4047" operator="equal">
      <formula>"500/510"</formula>
    </cfRule>
    <cfRule type="cellIs" dxfId="5" priority="4043" operator="equal">
      <formula>"IVOC"</formula>
    </cfRule>
    <cfRule type="cellIs" dxfId="2" priority="4039" operator="equal">
      <formula>"新增"</formula>
    </cfRule>
    <cfRule type="cellIs" dxfId="13" priority="4035" operator="equal">
      <formula>"优化"</formula>
    </cfRule>
    <cfRule type="cellIs" dxfId="12" priority="4031" operator="equal">
      <formula>"更新"</formula>
    </cfRule>
    <cfRule type="cellIs" dxfId="11" priority="4027" operator="equal">
      <formula>"废弃"</formula>
    </cfRule>
    <cfRule type="cellIs" dxfId="1" priority="3999" operator="equal">
      <formula>"新增"</formula>
    </cfRule>
  </conditionalFormatting>
  <conditionalFormatting sqref="L174">
    <cfRule type="cellIs" dxfId="1" priority="627" operator="equal">
      <formula>"通过"</formula>
    </cfRule>
    <cfRule type="cellIs" dxfId="0" priority="460" operator="equal">
      <formula>"不通过"</formula>
    </cfRule>
    <cfRule type="cellIs" dxfId="8" priority="293" operator="equal">
      <formula>"堵塞"</formula>
    </cfRule>
  </conditionalFormatting>
  <conditionalFormatting sqref="C175">
    <cfRule type="cellIs" dxfId="10" priority="4062" operator="equal">
      <formula>"1级"</formula>
    </cfRule>
    <cfRule type="cellIs" dxfId="2" priority="4058" operator="equal">
      <formula>"2级"</formula>
    </cfRule>
    <cfRule type="cellIs" dxfId="9" priority="4054" operator="equal">
      <formula>"3级"</formula>
    </cfRule>
  </conditionalFormatting>
  <conditionalFormatting sqref="E175">
    <cfRule type="cellIs" dxfId="7" priority="4050" operator="equal">
      <formula>"500/510/IVOC"</formula>
    </cfRule>
    <cfRule type="cellIs" dxfId="6" priority="4046" operator="equal">
      <formula>"500/510"</formula>
    </cfRule>
    <cfRule type="cellIs" dxfId="5" priority="4042" operator="equal">
      <formula>"IVOC"</formula>
    </cfRule>
    <cfRule type="cellIs" dxfId="2" priority="4038" operator="equal">
      <formula>"新增"</formula>
    </cfRule>
    <cfRule type="cellIs" dxfId="13" priority="4034" operator="equal">
      <formula>"优化"</formula>
    </cfRule>
    <cfRule type="cellIs" dxfId="12" priority="4030" operator="equal">
      <formula>"更新"</formula>
    </cfRule>
    <cfRule type="cellIs" dxfId="11" priority="4026" operator="equal">
      <formula>"废弃"</formula>
    </cfRule>
    <cfRule type="cellIs" dxfId="1" priority="3998" operator="equal">
      <formula>"新增"</formula>
    </cfRule>
  </conditionalFormatting>
  <conditionalFormatting sqref="L175">
    <cfRule type="cellIs" dxfId="1" priority="626" operator="equal">
      <formula>"通过"</formula>
    </cfRule>
    <cfRule type="cellIs" dxfId="0" priority="459" operator="equal">
      <formula>"不通过"</formula>
    </cfRule>
    <cfRule type="cellIs" dxfId="8" priority="292" operator="equal">
      <formula>"堵塞"</formula>
    </cfRule>
  </conditionalFormatting>
  <conditionalFormatting sqref="C176">
    <cfRule type="cellIs" dxfId="10" priority="4061" operator="equal">
      <formula>"1级"</formula>
    </cfRule>
    <cfRule type="cellIs" dxfId="2" priority="4057" operator="equal">
      <formula>"2级"</formula>
    </cfRule>
    <cfRule type="cellIs" dxfId="9" priority="4053" operator="equal">
      <formula>"3级"</formula>
    </cfRule>
  </conditionalFormatting>
  <conditionalFormatting sqref="E176">
    <cfRule type="cellIs" dxfId="7" priority="4049" operator="equal">
      <formula>"500/510/IVOC"</formula>
    </cfRule>
    <cfRule type="cellIs" dxfId="6" priority="4045" operator="equal">
      <formula>"500/510"</formula>
    </cfRule>
    <cfRule type="cellIs" dxfId="5" priority="4041" operator="equal">
      <formula>"IVOC"</formula>
    </cfRule>
    <cfRule type="cellIs" dxfId="2" priority="4037" operator="equal">
      <formula>"新增"</formula>
    </cfRule>
    <cfRule type="cellIs" dxfId="13" priority="4033" operator="equal">
      <formula>"优化"</formula>
    </cfRule>
    <cfRule type="cellIs" dxfId="12" priority="4029" operator="equal">
      <formula>"更新"</formula>
    </cfRule>
    <cfRule type="cellIs" dxfId="11" priority="4025" operator="equal">
      <formula>"废弃"</formula>
    </cfRule>
    <cfRule type="cellIs" dxfId="1" priority="3997" operator="equal">
      <formula>"新增"</formula>
    </cfRule>
  </conditionalFormatting>
  <conditionalFormatting sqref="L176">
    <cfRule type="cellIs" dxfId="1" priority="625" operator="equal">
      <formula>"通过"</formula>
    </cfRule>
    <cfRule type="cellIs" dxfId="0" priority="458" operator="equal">
      <formula>"不通过"</formula>
    </cfRule>
    <cfRule type="cellIs" dxfId="8" priority="291" operator="equal">
      <formula>"堵塞"</formula>
    </cfRule>
  </conditionalFormatting>
  <conditionalFormatting sqref="C177">
    <cfRule type="cellIs" dxfId="10" priority="3992" operator="equal">
      <formula>"1级"</formula>
    </cfRule>
    <cfRule type="cellIs" dxfId="2" priority="3991" operator="equal">
      <formula>"2级"</formula>
    </cfRule>
    <cfRule type="cellIs" dxfId="9" priority="3990" operator="equal">
      <formula>"3级"</formula>
    </cfRule>
  </conditionalFormatting>
  <conditionalFormatting sqref="E177">
    <cfRule type="cellIs" dxfId="7" priority="3989" operator="equal">
      <formula>"500/510/IVOC"</formula>
    </cfRule>
    <cfRule type="cellIs" dxfId="6" priority="3988" operator="equal">
      <formula>"500/510"</formula>
    </cfRule>
    <cfRule type="cellIs" dxfId="5" priority="3987" operator="equal">
      <formula>"IVOC"</formula>
    </cfRule>
    <cfRule type="cellIs" dxfId="2" priority="3986" operator="equal">
      <formula>"新增"</formula>
    </cfRule>
    <cfRule type="cellIs" dxfId="13" priority="3985" operator="equal">
      <formula>"优化"</formula>
    </cfRule>
    <cfRule type="cellIs" dxfId="12" priority="3984" operator="equal">
      <formula>"更新"</formula>
    </cfRule>
    <cfRule type="cellIs" dxfId="11" priority="3983" operator="equal">
      <formula>"废弃"</formula>
    </cfRule>
    <cfRule type="cellIs" dxfId="1" priority="3976" operator="equal">
      <formula>"新增"</formula>
    </cfRule>
  </conditionalFormatting>
  <conditionalFormatting sqref="L177">
    <cfRule type="cellIs" dxfId="1" priority="624" operator="equal">
      <formula>"通过"</formula>
    </cfRule>
    <cfRule type="cellIs" dxfId="0" priority="457" operator="equal">
      <formula>"不通过"</formula>
    </cfRule>
    <cfRule type="cellIs" dxfId="8" priority="290" operator="equal">
      <formula>"堵塞"</formula>
    </cfRule>
  </conditionalFormatting>
  <conditionalFormatting sqref="C178">
    <cfRule type="cellIs" dxfId="10" priority="3974" operator="equal">
      <formula>"1级"</formula>
    </cfRule>
    <cfRule type="cellIs" dxfId="2" priority="3970" operator="equal">
      <formula>"2级"</formula>
    </cfRule>
    <cfRule type="cellIs" dxfId="9" priority="3966" operator="equal">
      <formula>"3级"</formula>
    </cfRule>
  </conditionalFormatting>
  <conditionalFormatting sqref="E178">
    <cfRule type="cellIs" dxfId="7" priority="3962" operator="equal">
      <formula>"500/510/IVOC"</formula>
    </cfRule>
    <cfRule type="cellIs" dxfId="6" priority="3958" operator="equal">
      <formula>"500/510"</formula>
    </cfRule>
    <cfRule type="cellIs" dxfId="5" priority="3954" operator="equal">
      <formula>"IVOC"</formula>
    </cfRule>
    <cfRule type="cellIs" dxfId="2" priority="3950" operator="equal">
      <formula>"新增"</formula>
    </cfRule>
    <cfRule type="cellIs" dxfId="13" priority="3946" operator="equal">
      <formula>"优化"</formula>
    </cfRule>
    <cfRule type="cellIs" dxfId="12" priority="3942" operator="equal">
      <formula>"更新"</formula>
    </cfRule>
    <cfRule type="cellIs" dxfId="11" priority="3938" operator="equal">
      <formula>"废弃"</formula>
    </cfRule>
    <cfRule type="cellIs" dxfId="1" priority="3910" operator="equal">
      <formula>"新增"</formula>
    </cfRule>
  </conditionalFormatting>
  <conditionalFormatting sqref="L178">
    <cfRule type="cellIs" dxfId="1" priority="623" operator="equal">
      <formula>"通过"</formula>
    </cfRule>
    <cfRule type="cellIs" dxfId="0" priority="456" operator="equal">
      <formula>"不通过"</formula>
    </cfRule>
    <cfRule type="cellIs" dxfId="8" priority="289" operator="equal">
      <formula>"堵塞"</formula>
    </cfRule>
  </conditionalFormatting>
  <conditionalFormatting sqref="C179">
    <cfRule type="cellIs" dxfId="10" priority="3973" operator="equal">
      <formula>"1级"</formula>
    </cfRule>
    <cfRule type="cellIs" dxfId="2" priority="3969" operator="equal">
      <formula>"2级"</formula>
    </cfRule>
    <cfRule type="cellIs" dxfId="9" priority="3965" operator="equal">
      <formula>"3级"</formula>
    </cfRule>
  </conditionalFormatting>
  <conditionalFormatting sqref="E179">
    <cfRule type="cellIs" dxfId="7" priority="3961" operator="equal">
      <formula>"500/510/IVOC"</formula>
    </cfRule>
    <cfRule type="cellIs" dxfId="6" priority="3957" operator="equal">
      <formula>"500/510"</formula>
    </cfRule>
    <cfRule type="cellIs" dxfId="5" priority="3953" operator="equal">
      <formula>"IVOC"</formula>
    </cfRule>
    <cfRule type="cellIs" dxfId="2" priority="3949" operator="equal">
      <formula>"新增"</formula>
    </cfRule>
    <cfRule type="cellIs" dxfId="13" priority="3945" operator="equal">
      <formula>"优化"</formula>
    </cfRule>
    <cfRule type="cellIs" dxfId="12" priority="3941" operator="equal">
      <formula>"更新"</formula>
    </cfRule>
    <cfRule type="cellIs" dxfId="11" priority="3937" operator="equal">
      <formula>"废弃"</formula>
    </cfRule>
    <cfRule type="cellIs" dxfId="1" priority="3909" operator="equal">
      <formula>"新增"</formula>
    </cfRule>
  </conditionalFormatting>
  <conditionalFormatting sqref="L179">
    <cfRule type="cellIs" dxfId="1" priority="622" operator="equal">
      <formula>"通过"</formula>
    </cfRule>
    <cfRule type="cellIs" dxfId="0" priority="455" operator="equal">
      <formula>"不通过"</formula>
    </cfRule>
    <cfRule type="cellIs" dxfId="8" priority="288" operator="equal">
      <formula>"堵塞"</formula>
    </cfRule>
  </conditionalFormatting>
  <conditionalFormatting sqref="C180">
    <cfRule type="cellIs" dxfId="10" priority="3972" operator="equal">
      <formula>"1级"</formula>
    </cfRule>
    <cfRule type="cellIs" dxfId="2" priority="3968" operator="equal">
      <formula>"2级"</formula>
    </cfRule>
    <cfRule type="cellIs" dxfId="9" priority="3964" operator="equal">
      <formula>"3级"</formula>
    </cfRule>
  </conditionalFormatting>
  <conditionalFormatting sqref="E180">
    <cfRule type="cellIs" dxfId="7" priority="3960" operator="equal">
      <formula>"500/510/IVOC"</formula>
    </cfRule>
    <cfRule type="cellIs" dxfId="6" priority="3956" operator="equal">
      <formula>"500/510"</formula>
    </cfRule>
    <cfRule type="cellIs" dxfId="5" priority="3952" operator="equal">
      <formula>"IVOC"</formula>
    </cfRule>
    <cfRule type="cellIs" dxfId="2" priority="3948" operator="equal">
      <formula>"新增"</formula>
    </cfRule>
    <cfRule type="cellIs" dxfId="13" priority="3944" operator="equal">
      <formula>"优化"</formula>
    </cfRule>
    <cfRule type="cellIs" dxfId="12" priority="3940" operator="equal">
      <formula>"更新"</formula>
    </cfRule>
    <cfRule type="cellIs" dxfId="11" priority="3936" operator="equal">
      <formula>"废弃"</formula>
    </cfRule>
    <cfRule type="cellIs" dxfId="1" priority="3908" operator="equal">
      <formula>"新增"</formula>
    </cfRule>
  </conditionalFormatting>
  <conditionalFormatting sqref="L180">
    <cfRule type="cellIs" dxfId="1" priority="621" operator="equal">
      <formula>"通过"</formula>
    </cfRule>
    <cfRule type="cellIs" dxfId="0" priority="454" operator="equal">
      <formula>"不通过"</formula>
    </cfRule>
    <cfRule type="cellIs" dxfId="8" priority="287" operator="equal">
      <formula>"堵塞"</formula>
    </cfRule>
  </conditionalFormatting>
  <conditionalFormatting sqref="C181">
    <cfRule type="cellIs" dxfId="10" priority="3971" operator="equal">
      <formula>"1级"</formula>
    </cfRule>
    <cfRule type="cellIs" dxfId="2" priority="3967" operator="equal">
      <formula>"2级"</formula>
    </cfRule>
    <cfRule type="cellIs" dxfId="9" priority="3963" operator="equal">
      <formula>"3级"</formula>
    </cfRule>
  </conditionalFormatting>
  <conditionalFormatting sqref="E181">
    <cfRule type="cellIs" dxfId="7" priority="3959" operator="equal">
      <formula>"500/510/IVOC"</formula>
    </cfRule>
    <cfRule type="cellIs" dxfId="6" priority="3955" operator="equal">
      <formula>"500/510"</formula>
    </cfRule>
    <cfRule type="cellIs" dxfId="5" priority="3951" operator="equal">
      <formula>"IVOC"</formula>
    </cfRule>
    <cfRule type="cellIs" dxfId="2" priority="3947" operator="equal">
      <formula>"新增"</formula>
    </cfRule>
    <cfRule type="cellIs" dxfId="13" priority="3943" operator="equal">
      <formula>"优化"</formula>
    </cfRule>
    <cfRule type="cellIs" dxfId="12" priority="3939" operator="equal">
      <formula>"更新"</formula>
    </cfRule>
    <cfRule type="cellIs" dxfId="11" priority="3935" operator="equal">
      <formula>"废弃"</formula>
    </cfRule>
    <cfRule type="cellIs" dxfId="1" priority="3907" operator="equal">
      <formula>"新增"</formula>
    </cfRule>
  </conditionalFormatting>
  <conditionalFormatting sqref="L181">
    <cfRule type="cellIs" dxfId="1" priority="620" operator="equal">
      <formula>"通过"</formula>
    </cfRule>
    <cfRule type="cellIs" dxfId="0" priority="453" operator="equal">
      <formula>"不通过"</formula>
    </cfRule>
    <cfRule type="cellIs" dxfId="8" priority="286" operator="equal">
      <formula>"堵塞"</formula>
    </cfRule>
  </conditionalFormatting>
  <conditionalFormatting sqref="C182">
    <cfRule type="cellIs" dxfId="10" priority="3902" operator="equal">
      <formula>"1级"</formula>
    </cfRule>
    <cfRule type="cellIs" dxfId="2" priority="3901" operator="equal">
      <formula>"2级"</formula>
    </cfRule>
    <cfRule type="cellIs" dxfId="9" priority="3900" operator="equal">
      <formula>"3级"</formula>
    </cfRule>
  </conditionalFormatting>
  <conditionalFormatting sqref="E182">
    <cfRule type="cellIs" dxfId="7" priority="3899" operator="equal">
      <formula>"500/510/IVOC"</formula>
    </cfRule>
    <cfRule type="cellIs" dxfId="6" priority="3898" operator="equal">
      <formula>"500/510"</formula>
    </cfRule>
    <cfRule type="cellIs" dxfId="5" priority="3897" operator="equal">
      <formula>"IVOC"</formula>
    </cfRule>
    <cfRule type="cellIs" dxfId="2" priority="3896" operator="equal">
      <formula>"新增"</formula>
    </cfRule>
    <cfRule type="cellIs" dxfId="13" priority="3895" operator="equal">
      <formula>"优化"</formula>
    </cfRule>
    <cfRule type="cellIs" dxfId="12" priority="3894" operator="equal">
      <formula>"更新"</formula>
    </cfRule>
    <cfRule type="cellIs" dxfId="11" priority="3893" operator="equal">
      <formula>"废弃"</formula>
    </cfRule>
    <cfRule type="cellIs" dxfId="1" priority="3886" operator="equal">
      <formula>"新增"</formula>
    </cfRule>
  </conditionalFormatting>
  <conditionalFormatting sqref="L182">
    <cfRule type="cellIs" dxfId="1" priority="619" operator="equal">
      <formula>"通过"</formula>
    </cfRule>
    <cfRule type="cellIs" dxfId="0" priority="452" operator="equal">
      <formula>"不通过"</formula>
    </cfRule>
    <cfRule type="cellIs" dxfId="8" priority="285" operator="equal">
      <formula>"堵塞"</formula>
    </cfRule>
  </conditionalFormatting>
  <conditionalFormatting sqref="C183">
    <cfRule type="cellIs" dxfId="10" priority="3884" operator="equal">
      <formula>"1级"</formula>
    </cfRule>
    <cfRule type="cellIs" dxfId="2" priority="3880" operator="equal">
      <formula>"2级"</formula>
    </cfRule>
    <cfRule type="cellIs" dxfId="9" priority="3876" operator="equal">
      <formula>"3级"</formula>
    </cfRule>
  </conditionalFormatting>
  <conditionalFormatting sqref="E183">
    <cfRule type="cellIs" dxfId="7" priority="3872" operator="equal">
      <formula>"500/510/IVOC"</formula>
    </cfRule>
    <cfRule type="cellIs" dxfId="6" priority="3868" operator="equal">
      <formula>"500/510"</formula>
    </cfRule>
    <cfRule type="cellIs" dxfId="5" priority="3864" operator="equal">
      <formula>"IVOC"</formula>
    </cfRule>
    <cfRule type="cellIs" dxfId="2" priority="3860" operator="equal">
      <formula>"新增"</formula>
    </cfRule>
    <cfRule type="cellIs" dxfId="13" priority="3856" operator="equal">
      <formula>"优化"</formula>
    </cfRule>
    <cfRule type="cellIs" dxfId="12" priority="3852" operator="equal">
      <formula>"更新"</formula>
    </cfRule>
    <cfRule type="cellIs" dxfId="11" priority="3848" operator="equal">
      <formula>"废弃"</formula>
    </cfRule>
    <cfRule type="cellIs" dxfId="1" priority="3820" operator="equal">
      <formula>"新增"</formula>
    </cfRule>
  </conditionalFormatting>
  <conditionalFormatting sqref="L183">
    <cfRule type="cellIs" dxfId="1" priority="618" operator="equal">
      <formula>"通过"</formula>
    </cfRule>
    <cfRule type="cellIs" dxfId="0" priority="451" operator="equal">
      <formula>"不通过"</formula>
    </cfRule>
    <cfRule type="cellIs" dxfId="8" priority="284" operator="equal">
      <formula>"堵塞"</formula>
    </cfRule>
  </conditionalFormatting>
  <conditionalFormatting sqref="C184">
    <cfRule type="cellIs" dxfId="10" priority="3883" operator="equal">
      <formula>"1级"</formula>
    </cfRule>
    <cfRule type="cellIs" dxfId="2" priority="3879" operator="equal">
      <formula>"2级"</formula>
    </cfRule>
    <cfRule type="cellIs" dxfId="9" priority="3875" operator="equal">
      <formula>"3级"</formula>
    </cfRule>
  </conditionalFormatting>
  <conditionalFormatting sqref="E184">
    <cfRule type="cellIs" dxfId="7" priority="3871" operator="equal">
      <formula>"500/510/IVOC"</formula>
    </cfRule>
    <cfRule type="cellIs" dxfId="6" priority="3867" operator="equal">
      <formula>"500/510"</formula>
    </cfRule>
    <cfRule type="cellIs" dxfId="5" priority="3863" operator="equal">
      <formula>"IVOC"</formula>
    </cfRule>
    <cfRule type="cellIs" dxfId="2" priority="3859" operator="equal">
      <formula>"新增"</formula>
    </cfRule>
    <cfRule type="cellIs" dxfId="13" priority="3855" operator="equal">
      <formula>"优化"</formula>
    </cfRule>
    <cfRule type="cellIs" dxfId="12" priority="3851" operator="equal">
      <formula>"更新"</formula>
    </cfRule>
    <cfRule type="cellIs" dxfId="11" priority="3847" operator="equal">
      <formula>"废弃"</formula>
    </cfRule>
    <cfRule type="cellIs" dxfId="1" priority="3819" operator="equal">
      <formula>"新增"</formula>
    </cfRule>
  </conditionalFormatting>
  <conditionalFormatting sqref="L184">
    <cfRule type="cellIs" dxfId="1" priority="617" operator="equal">
      <formula>"通过"</formula>
    </cfRule>
    <cfRule type="cellIs" dxfId="0" priority="450" operator="equal">
      <formula>"不通过"</formula>
    </cfRule>
    <cfRule type="cellIs" dxfId="8" priority="283" operator="equal">
      <formula>"堵塞"</formula>
    </cfRule>
  </conditionalFormatting>
  <conditionalFormatting sqref="C185">
    <cfRule type="cellIs" dxfId="10" priority="3882" operator="equal">
      <formula>"1级"</formula>
    </cfRule>
    <cfRule type="cellIs" dxfId="2" priority="3878" operator="equal">
      <formula>"2级"</formula>
    </cfRule>
    <cfRule type="cellIs" dxfId="9" priority="3874" operator="equal">
      <formula>"3级"</formula>
    </cfRule>
  </conditionalFormatting>
  <conditionalFormatting sqref="E185">
    <cfRule type="cellIs" dxfId="7" priority="3870" operator="equal">
      <formula>"500/510/IVOC"</formula>
    </cfRule>
    <cfRule type="cellIs" dxfId="6" priority="3866" operator="equal">
      <formula>"500/510"</formula>
    </cfRule>
    <cfRule type="cellIs" dxfId="5" priority="3862" operator="equal">
      <formula>"IVOC"</formula>
    </cfRule>
    <cfRule type="cellIs" dxfId="2" priority="3858" operator="equal">
      <formula>"新增"</formula>
    </cfRule>
    <cfRule type="cellIs" dxfId="13" priority="3854" operator="equal">
      <formula>"优化"</formula>
    </cfRule>
    <cfRule type="cellIs" dxfId="12" priority="3850" operator="equal">
      <formula>"更新"</formula>
    </cfRule>
    <cfRule type="cellIs" dxfId="11" priority="3846" operator="equal">
      <formula>"废弃"</formula>
    </cfRule>
    <cfRule type="cellIs" dxfId="1" priority="3818" operator="equal">
      <formula>"新增"</formula>
    </cfRule>
  </conditionalFormatting>
  <conditionalFormatting sqref="L185">
    <cfRule type="cellIs" dxfId="1" priority="616" operator="equal">
      <formula>"通过"</formula>
    </cfRule>
    <cfRule type="cellIs" dxfId="0" priority="449" operator="equal">
      <formula>"不通过"</formula>
    </cfRule>
    <cfRule type="cellIs" dxfId="8" priority="282" operator="equal">
      <formula>"堵塞"</formula>
    </cfRule>
  </conditionalFormatting>
  <conditionalFormatting sqref="C186">
    <cfRule type="cellIs" dxfId="10" priority="3881" operator="equal">
      <formula>"1级"</formula>
    </cfRule>
    <cfRule type="cellIs" dxfId="2" priority="3877" operator="equal">
      <formula>"2级"</formula>
    </cfRule>
    <cfRule type="cellIs" dxfId="9" priority="3873" operator="equal">
      <formula>"3级"</formula>
    </cfRule>
  </conditionalFormatting>
  <conditionalFormatting sqref="E186">
    <cfRule type="cellIs" dxfId="7" priority="3869" operator="equal">
      <formula>"500/510/IVOC"</formula>
    </cfRule>
    <cfRule type="cellIs" dxfId="6" priority="3865" operator="equal">
      <formula>"500/510"</formula>
    </cfRule>
    <cfRule type="cellIs" dxfId="5" priority="3861" operator="equal">
      <formula>"IVOC"</formula>
    </cfRule>
    <cfRule type="cellIs" dxfId="2" priority="3857" operator="equal">
      <formula>"新增"</formula>
    </cfRule>
    <cfRule type="cellIs" dxfId="13" priority="3853" operator="equal">
      <formula>"优化"</formula>
    </cfRule>
    <cfRule type="cellIs" dxfId="12" priority="3849" operator="equal">
      <formula>"更新"</formula>
    </cfRule>
    <cfRule type="cellIs" dxfId="11" priority="3845" operator="equal">
      <formula>"废弃"</formula>
    </cfRule>
    <cfRule type="cellIs" dxfId="1" priority="3817" operator="equal">
      <formula>"新增"</formula>
    </cfRule>
  </conditionalFormatting>
  <conditionalFormatting sqref="L186">
    <cfRule type="cellIs" dxfId="1" priority="615" operator="equal">
      <formula>"通过"</formula>
    </cfRule>
    <cfRule type="cellIs" dxfId="0" priority="448" operator="equal">
      <formula>"不通过"</formula>
    </cfRule>
    <cfRule type="cellIs" dxfId="8" priority="281" operator="equal">
      <formula>"堵塞"</formula>
    </cfRule>
  </conditionalFormatting>
  <conditionalFormatting sqref="C187">
    <cfRule type="cellIs" dxfId="10" priority="3812" operator="equal">
      <formula>"1级"</formula>
    </cfRule>
    <cfRule type="cellIs" dxfId="2" priority="3811" operator="equal">
      <formula>"2级"</formula>
    </cfRule>
    <cfRule type="cellIs" dxfId="9" priority="3810" operator="equal">
      <formula>"3级"</formula>
    </cfRule>
  </conditionalFormatting>
  <conditionalFormatting sqref="E187">
    <cfRule type="cellIs" dxfId="7" priority="3809" operator="equal">
      <formula>"500/510/IVOC"</formula>
    </cfRule>
    <cfRule type="cellIs" dxfId="6" priority="3808" operator="equal">
      <formula>"500/510"</formula>
    </cfRule>
    <cfRule type="cellIs" dxfId="5" priority="3807" operator="equal">
      <formula>"IVOC"</formula>
    </cfRule>
    <cfRule type="cellIs" dxfId="2" priority="3806" operator="equal">
      <formula>"新增"</formula>
    </cfRule>
    <cfRule type="cellIs" dxfId="13" priority="3805" operator="equal">
      <formula>"优化"</formula>
    </cfRule>
    <cfRule type="cellIs" dxfId="12" priority="3804" operator="equal">
      <formula>"更新"</formula>
    </cfRule>
    <cfRule type="cellIs" dxfId="11" priority="3803" operator="equal">
      <formula>"废弃"</formula>
    </cfRule>
    <cfRule type="cellIs" dxfId="1" priority="3796" operator="equal">
      <formula>"新增"</formula>
    </cfRule>
  </conditionalFormatting>
  <conditionalFormatting sqref="L187">
    <cfRule type="cellIs" dxfId="1" priority="614" operator="equal">
      <formula>"通过"</formula>
    </cfRule>
    <cfRule type="cellIs" dxfId="0" priority="447" operator="equal">
      <formula>"不通过"</formula>
    </cfRule>
    <cfRule type="cellIs" dxfId="8" priority="280" operator="equal">
      <formula>"堵塞"</formula>
    </cfRule>
  </conditionalFormatting>
  <conditionalFormatting sqref="C188">
    <cfRule type="cellIs" dxfId="10" priority="3794" operator="equal">
      <formula>"1级"</formula>
    </cfRule>
    <cfRule type="cellIs" dxfId="2" priority="3790" operator="equal">
      <formula>"2级"</formula>
    </cfRule>
    <cfRule type="cellIs" dxfId="9" priority="3786" operator="equal">
      <formula>"3级"</formula>
    </cfRule>
  </conditionalFormatting>
  <conditionalFormatting sqref="E188">
    <cfRule type="cellIs" dxfId="7" priority="3782" operator="equal">
      <formula>"500/510/IVOC"</formula>
    </cfRule>
    <cfRule type="cellIs" dxfId="6" priority="3778" operator="equal">
      <formula>"500/510"</formula>
    </cfRule>
    <cfRule type="cellIs" dxfId="5" priority="3774" operator="equal">
      <formula>"IVOC"</formula>
    </cfRule>
    <cfRule type="cellIs" dxfId="2" priority="3770" operator="equal">
      <formula>"新增"</formula>
    </cfRule>
    <cfRule type="cellIs" dxfId="13" priority="3766" operator="equal">
      <formula>"优化"</formula>
    </cfRule>
    <cfRule type="cellIs" dxfId="12" priority="3762" operator="equal">
      <formula>"更新"</formula>
    </cfRule>
    <cfRule type="cellIs" dxfId="11" priority="3758" operator="equal">
      <formula>"废弃"</formula>
    </cfRule>
    <cfRule type="cellIs" dxfId="1" priority="3730" operator="equal">
      <formula>"新增"</formula>
    </cfRule>
  </conditionalFormatting>
  <conditionalFormatting sqref="L188">
    <cfRule type="cellIs" dxfId="1" priority="613" operator="equal">
      <formula>"通过"</formula>
    </cfRule>
    <cfRule type="cellIs" dxfId="0" priority="446" operator="equal">
      <formula>"不通过"</formula>
    </cfRule>
    <cfRule type="cellIs" dxfId="8" priority="279" operator="equal">
      <formula>"堵塞"</formula>
    </cfRule>
  </conditionalFormatting>
  <conditionalFormatting sqref="C189">
    <cfRule type="cellIs" dxfId="10" priority="3793" operator="equal">
      <formula>"1级"</formula>
    </cfRule>
    <cfRule type="cellIs" dxfId="2" priority="3789" operator="equal">
      <formula>"2级"</formula>
    </cfRule>
    <cfRule type="cellIs" dxfId="9" priority="3785" operator="equal">
      <formula>"3级"</formula>
    </cfRule>
  </conditionalFormatting>
  <conditionalFormatting sqref="E189">
    <cfRule type="cellIs" dxfId="7" priority="3781" operator="equal">
      <formula>"500/510/IVOC"</formula>
    </cfRule>
    <cfRule type="cellIs" dxfId="6" priority="3777" operator="equal">
      <formula>"500/510"</formula>
    </cfRule>
    <cfRule type="cellIs" dxfId="5" priority="3773" operator="equal">
      <formula>"IVOC"</formula>
    </cfRule>
    <cfRule type="cellIs" dxfId="2" priority="3769" operator="equal">
      <formula>"新增"</formula>
    </cfRule>
    <cfRule type="cellIs" dxfId="13" priority="3765" operator="equal">
      <formula>"优化"</formula>
    </cfRule>
    <cfRule type="cellIs" dxfId="12" priority="3761" operator="equal">
      <formula>"更新"</formula>
    </cfRule>
    <cfRule type="cellIs" dxfId="11" priority="3757" operator="equal">
      <formula>"废弃"</formula>
    </cfRule>
    <cfRule type="cellIs" dxfId="1" priority="3729" operator="equal">
      <formula>"新增"</formula>
    </cfRule>
  </conditionalFormatting>
  <conditionalFormatting sqref="L189">
    <cfRule type="cellIs" dxfId="1" priority="612" operator="equal">
      <formula>"通过"</formula>
    </cfRule>
    <cfRule type="cellIs" dxfId="0" priority="445" operator="equal">
      <formula>"不通过"</formula>
    </cfRule>
    <cfRule type="cellIs" dxfId="8" priority="278" operator="equal">
      <formula>"堵塞"</formula>
    </cfRule>
  </conditionalFormatting>
  <conditionalFormatting sqref="C190">
    <cfRule type="cellIs" dxfId="10" priority="3792" operator="equal">
      <formula>"1级"</formula>
    </cfRule>
    <cfRule type="cellIs" dxfId="2" priority="3788" operator="equal">
      <formula>"2级"</formula>
    </cfRule>
    <cfRule type="cellIs" dxfId="9" priority="3784" operator="equal">
      <formula>"3级"</formula>
    </cfRule>
  </conditionalFormatting>
  <conditionalFormatting sqref="E190">
    <cfRule type="cellIs" dxfId="7" priority="3780" operator="equal">
      <formula>"500/510/IVOC"</formula>
    </cfRule>
    <cfRule type="cellIs" dxfId="6" priority="3776" operator="equal">
      <formula>"500/510"</formula>
    </cfRule>
    <cfRule type="cellIs" dxfId="5" priority="3772" operator="equal">
      <formula>"IVOC"</formula>
    </cfRule>
    <cfRule type="cellIs" dxfId="2" priority="3768" operator="equal">
      <formula>"新增"</formula>
    </cfRule>
    <cfRule type="cellIs" dxfId="13" priority="3764" operator="equal">
      <formula>"优化"</formula>
    </cfRule>
    <cfRule type="cellIs" dxfId="12" priority="3760" operator="equal">
      <formula>"更新"</formula>
    </cfRule>
    <cfRule type="cellIs" dxfId="11" priority="3756" operator="equal">
      <formula>"废弃"</formula>
    </cfRule>
    <cfRule type="cellIs" dxfId="1" priority="3728" operator="equal">
      <formula>"新增"</formula>
    </cfRule>
  </conditionalFormatting>
  <conditionalFormatting sqref="L190">
    <cfRule type="cellIs" dxfId="1" priority="611" operator="equal">
      <formula>"通过"</formula>
    </cfRule>
    <cfRule type="cellIs" dxfId="0" priority="444" operator="equal">
      <formula>"不通过"</formula>
    </cfRule>
    <cfRule type="cellIs" dxfId="8" priority="277" operator="equal">
      <formula>"堵塞"</formula>
    </cfRule>
  </conditionalFormatting>
  <conditionalFormatting sqref="C191">
    <cfRule type="cellIs" dxfId="10" priority="3791" operator="equal">
      <formula>"1级"</formula>
    </cfRule>
    <cfRule type="cellIs" dxfId="2" priority="3787" operator="equal">
      <formula>"2级"</formula>
    </cfRule>
    <cfRule type="cellIs" dxfId="9" priority="3783" operator="equal">
      <formula>"3级"</formula>
    </cfRule>
  </conditionalFormatting>
  <conditionalFormatting sqref="E191">
    <cfRule type="cellIs" dxfId="7" priority="3779" operator="equal">
      <formula>"500/510/IVOC"</formula>
    </cfRule>
    <cfRule type="cellIs" dxfId="6" priority="3775" operator="equal">
      <formula>"500/510"</formula>
    </cfRule>
    <cfRule type="cellIs" dxfId="5" priority="3771" operator="equal">
      <formula>"IVOC"</formula>
    </cfRule>
    <cfRule type="cellIs" dxfId="2" priority="3767" operator="equal">
      <formula>"新增"</formula>
    </cfRule>
    <cfRule type="cellIs" dxfId="13" priority="3763" operator="equal">
      <formula>"优化"</formula>
    </cfRule>
    <cfRule type="cellIs" dxfId="12" priority="3759" operator="equal">
      <formula>"更新"</formula>
    </cfRule>
    <cfRule type="cellIs" dxfId="11" priority="3755" operator="equal">
      <formula>"废弃"</formula>
    </cfRule>
    <cfRule type="cellIs" dxfId="1" priority="3727" operator="equal">
      <formula>"新增"</formula>
    </cfRule>
  </conditionalFormatting>
  <conditionalFormatting sqref="L191">
    <cfRule type="cellIs" dxfId="1" priority="610" operator="equal">
      <formula>"通过"</formula>
    </cfRule>
    <cfRule type="cellIs" dxfId="0" priority="443" operator="equal">
      <formula>"不通过"</formula>
    </cfRule>
    <cfRule type="cellIs" dxfId="8" priority="276" operator="equal">
      <formula>"堵塞"</formula>
    </cfRule>
  </conditionalFormatting>
  <conditionalFormatting sqref="C192">
    <cfRule type="cellIs" dxfId="10" priority="3722" operator="equal">
      <formula>"1级"</formula>
    </cfRule>
    <cfRule type="cellIs" dxfId="2" priority="3721" operator="equal">
      <formula>"2级"</formula>
    </cfRule>
    <cfRule type="cellIs" dxfId="9" priority="3720" operator="equal">
      <formula>"3级"</formula>
    </cfRule>
  </conditionalFormatting>
  <conditionalFormatting sqref="E192">
    <cfRule type="cellIs" dxfId="7" priority="3719" operator="equal">
      <formula>"500/510/IVOC"</formula>
    </cfRule>
    <cfRule type="cellIs" dxfId="6" priority="3718" operator="equal">
      <formula>"500/510"</formula>
    </cfRule>
    <cfRule type="cellIs" dxfId="5" priority="3717" operator="equal">
      <formula>"IVOC"</formula>
    </cfRule>
    <cfRule type="cellIs" dxfId="2" priority="3716" operator="equal">
      <formula>"新增"</formula>
    </cfRule>
    <cfRule type="cellIs" dxfId="13" priority="3715" operator="equal">
      <formula>"优化"</formula>
    </cfRule>
    <cfRule type="cellIs" dxfId="12" priority="3714" operator="equal">
      <formula>"更新"</formula>
    </cfRule>
    <cfRule type="cellIs" dxfId="11" priority="3713" operator="equal">
      <formula>"废弃"</formula>
    </cfRule>
    <cfRule type="cellIs" dxfId="1" priority="3706" operator="equal">
      <formula>"新增"</formula>
    </cfRule>
  </conditionalFormatting>
  <conditionalFormatting sqref="L192">
    <cfRule type="cellIs" dxfId="1" priority="609" operator="equal">
      <formula>"通过"</formula>
    </cfRule>
    <cfRule type="cellIs" dxfId="0" priority="442" operator="equal">
      <formula>"不通过"</formula>
    </cfRule>
    <cfRule type="cellIs" dxfId="8" priority="275" operator="equal">
      <formula>"堵塞"</formula>
    </cfRule>
  </conditionalFormatting>
  <conditionalFormatting sqref="C193">
    <cfRule type="cellIs" dxfId="10" priority="3704" operator="equal">
      <formula>"1级"</formula>
    </cfRule>
    <cfRule type="cellIs" dxfId="2" priority="3700" operator="equal">
      <formula>"2级"</formula>
    </cfRule>
    <cfRule type="cellIs" dxfId="9" priority="3696" operator="equal">
      <formula>"3级"</formula>
    </cfRule>
  </conditionalFormatting>
  <conditionalFormatting sqref="E193">
    <cfRule type="cellIs" dxfId="7" priority="3692" operator="equal">
      <formula>"500/510/IVOC"</formula>
    </cfRule>
    <cfRule type="cellIs" dxfId="6" priority="3688" operator="equal">
      <formula>"500/510"</formula>
    </cfRule>
    <cfRule type="cellIs" dxfId="5" priority="3684" operator="equal">
      <formula>"IVOC"</formula>
    </cfRule>
    <cfRule type="cellIs" dxfId="2" priority="3680" operator="equal">
      <formula>"新增"</formula>
    </cfRule>
    <cfRule type="cellIs" dxfId="13" priority="3676" operator="equal">
      <formula>"优化"</formula>
    </cfRule>
    <cfRule type="cellIs" dxfId="12" priority="3672" operator="equal">
      <formula>"更新"</formula>
    </cfRule>
    <cfRule type="cellIs" dxfId="11" priority="3668" operator="equal">
      <formula>"废弃"</formula>
    </cfRule>
    <cfRule type="cellIs" dxfId="1" priority="3640" operator="equal">
      <formula>"新增"</formula>
    </cfRule>
  </conditionalFormatting>
  <conditionalFormatting sqref="L193">
    <cfRule type="cellIs" dxfId="1" priority="608" operator="equal">
      <formula>"通过"</formula>
    </cfRule>
    <cfRule type="cellIs" dxfId="0" priority="441" operator="equal">
      <formula>"不通过"</formula>
    </cfRule>
    <cfRule type="cellIs" dxfId="8" priority="274" operator="equal">
      <formula>"堵塞"</formula>
    </cfRule>
  </conditionalFormatting>
  <conditionalFormatting sqref="C194">
    <cfRule type="cellIs" dxfId="10" priority="3703" operator="equal">
      <formula>"1级"</formula>
    </cfRule>
    <cfRule type="cellIs" dxfId="2" priority="3699" operator="equal">
      <formula>"2级"</formula>
    </cfRule>
    <cfRule type="cellIs" dxfId="9" priority="3695" operator="equal">
      <formula>"3级"</formula>
    </cfRule>
  </conditionalFormatting>
  <conditionalFormatting sqref="E194">
    <cfRule type="cellIs" dxfId="7" priority="3691" operator="equal">
      <formula>"500/510/IVOC"</formula>
    </cfRule>
    <cfRule type="cellIs" dxfId="6" priority="3687" operator="equal">
      <formula>"500/510"</formula>
    </cfRule>
    <cfRule type="cellIs" dxfId="5" priority="3683" operator="equal">
      <formula>"IVOC"</formula>
    </cfRule>
    <cfRule type="cellIs" dxfId="2" priority="3679" operator="equal">
      <formula>"新增"</formula>
    </cfRule>
    <cfRule type="cellIs" dxfId="13" priority="3675" operator="equal">
      <formula>"优化"</formula>
    </cfRule>
    <cfRule type="cellIs" dxfId="12" priority="3671" operator="equal">
      <formula>"更新"</formula>
    </cfRule>
    <cfRule type="cellIs" dxfId="11" priority="3667" operator="equal">
      <formula>"废弃"</formula>
    </cfRule>
    <cfRule type="cellIs" dxfId="1" priority="3639" operator="equal">
      <formula>"新增"</formula>
    </cfRule>
  </conditionalFormatting>
  <conditionalFormatting sqref="L194">
    <cfRule type="cellIs" dxfId="1" priority="607" operator="equal">
      <formula>"通过"</formula>
    </cfRule>
    <cfRule type="cellIs" dxfId="0" priority="440" operator="equal">
      <formula>"不通过"</formula>
    </cfRule>
    <cfRule type="cellIs" dxfId="8" priority="273" operator="equal">
      <formula>"堵塞"</formula>
    </cfRule>
  </conditionalFormatting>
  <conditionalFormatting sqref="C195">
    <cfRule type="cellIs" dxfId="10" priority="3702" operator="equal">
      <formula>"1级"</formula>
    </cfRule>
    <cfRule type="cellIs" dxfId="2" priority="3698" operator="equal">
      <formula>"2级"</formula>
    </cfRule>
    <cfRule type="cellIs" dxfId="9" priority="3694" operator="equal">
      <formula>"3级"</formula>
    </cfRule>
  </conditionalFormatting>
  <conditionalFormatting sqref="E195">
    <cfRule type="cellIs" dxfId="7" priority="3690" operator="equal">
      <formula>"500/510/IVOC"</formula>
    </cfRule>
    <cfRule type="cellIs" dxfId="6" priority="3686" operator="equal">
      <formula>"500/510"</formula>
    </cfRule>
    <cfRule type="cellIs" dxfId="5" priority="3682" operator="equal">
      <formula>"IVOC"</formula>
    </cfRule>
    <cfRule type="cellIs" dxfId="2" priority="3678" operator="equal">
      <formula>"新增"</formula>
    </cfRule>
    <cfRule type="cellIs" dxfId="13" priority="3674" operator="equal">
      <formula>"优化"</formula>
    </cfRule>
    <cfRule type="cellIs" dxfId="12" priority="3670" operator="equal">
      <formula>"更新"</formula>
    </cfRule>
    <cfRule type="cellIs" dxfId="11" priority="3666" operator="equal">
      <formula>"废弃"</formula>
    </cfRule>
    <cfRule type="cellIs" dxfId="1" priority="3638" operator="equal">
      <formula>"新增"</formula>
    </cfRule>
  </conditionalFormatting>
  <conditionalFormatting sqref="L195">
    <cfRule type="cellIs" dxfId="1" priority="606" operator="equal">
      <formula>"通过"</formula>
    </cfRule>
    <cfRule type="cellIs" dxfId="0" priority="439" operator="equal">
      <formula>"不通过"</formula>
    </cfRule>
    <cfRule type="cellIs" dxfId="8" priority="272" operator="equal">
      <formula>"堵塞"</formula>
    </cfRule>
  </conditionalFormatting>
  <conditionalFormatting sqref="C196">
    <cfRule type="cellIs" dxfId="10" priority="3701" operator="equal">
      <formula>"1级"</formula>
    </cfRule>
    <cfRule type="cellIs" dxfId="2" priority="3697" operator="equal">
      <formula>"2级"</formula>
    </cfRule>
    <cfRule type="cellIs" dxfId="9" priority="3693" operator="equal">
      <formula>"3级"</formula>
    </cfRule>
  </conditionalFormatting>
  <conditionalFormatting sqref="E196">
    <cfRule type="cellIs" dxfId="7" priority="3689" operator="equal">
      <formula>"500/510/IVOC"</formula>
    </cfRule>
    <cfRule type="cellIs" dxfId="6" priority="3685" operator="equal">
      <formula>"500/510"</formula>
    </cfRule>
    <cfRule type="cellIs" dxfId="5" priority="3681" operator="equal">
      <formula>"IVOC"</formula>
    </cfRule>
    <cfRule type="cellIs" dxfId="2" priority="3677" operator="equal">
      <formula>"新增"</formula>
    </cfRule>
    <cfRule type="cellIs" dxfId="13" priority="3673" operator="equal">
      <formula>"优化"</formula>
    </cfRule>
    <cfRule type="cellIs" dxfId="12" priority="3669" operator="equal">
      <formula>"更新"</formula>
    </cfRule>
    <cfRule type="cellIs" dxfId="11" priority="3665" operator="equal">
      <formula>"废弃"</formula>
    </cfRule>
    <cfRule type="cellIs" dxfId="1" priority="3637" operator="equal">
      <formula>"新增"</formula>
    </cfRule>
  </conditionalFormatting>
  <conditionalFormatting sqref="L196">
    <cfRule type="cellIs" dxfId="1" priority="605" operator="equal">
      <formula>"通过"</formula>
    </cfRule>
    <cfRule type="cellIs" dxfId="0" priority="438" operator="equal">
      <formula>"不通过"</formula>
    </cfRule>
    <cfRule type="cellIs" dxfId="8" priority="271" operator="equal">
      <formula>"堵塞"</formula>
    </cfRule>
  </conditionalFormatting>
  <conditionalFormatting sqref="C197">
    <cfRule type="cellIs" dxfId="10" priority="3632" operator="equal">
      <formula>"1级"</formula>
    </cfRule>
    <cfRule type="cellIs" dxfId="2" priority="3631" operator="equal">
      <formula>"2级"</formula>
    </cfRule>
    <cfRule type="cellIs" dxfId="9" priority="3630" operator="equal">
      <formula>"3级"</formula>
    </cfRule>
  </conditionalFormatting>
  <conditionalFormatting sqref="E197">
    <cfRule type="cellIs" dxfId="7" priority="3629" operator="equal">
      <formula>"500/510/IVOC"</formula>
    </cfRule>
    <cfRule type="cellIs" dxfId="6" priority="3628" operator="equal">
      <formula>"500/510"</formula>
    </cfRule>
    <cfRule type="cellIs" dxfId="5" priority="3627" operator="equal">
      <formula>"IVOC"</formula>
    </cfRule>
    <cfRule type="cellIs" dxfId="2" priority="3626" operator="equal">
      <formula>"新增"</formula>
    </cfRule>
    <cfRule type="cellIs" dxfId="13" priority="3625" operator="equal">
      <formula>"优化"</formula>
    </cfRule>
    <cfRule type="cellIs" dxfId="12" priority="3624" operator="equal">
      <formula>"更新"</formula>
    </cfRule>
    <cfRule type="cellIs" dxfId="11" priority="3623" operator="equal">
      <formula>"废弃"</formula>
    </cfRule>
    <cfRule type="cellIs" dxfId="1" priority="3616" operator="equal">
      <formula>"新增"</formula>
    </cfRule>
  </conditionalFormatting>
  <conditionalFormatting sqref="L197">
    <cfRule type="cellIs" dxfId="1" priority="604" operator="equal">
      <formula>"通过"</formula>
    </cfRule>
    <cfRule type="cellIs" dxfId="0" priority="437" operator="equal">
      <formula>"不通过"</formula>
    </cfRule>
    <cfRule type="cellIs" dxfId="8" priority="270" operator="equal">
      <formula>"堵塞"</formula>
    </cfRule>
  </conditionalFormatting>
  <conditionalFormatting sqref="C198">
    <cfRule type="cellIs" dxfId="10" priority="3614" operator="equal">
      <formula>"1级"</formula>
    </cfRule>
    <cfRule type="cellIs" dxfId="2" priority="3610" operator="equal">
      <formula>"2级"</formula>
    </cfRule>
    <cfRule type="cellIs" dxfId="9" priority="3606" operator="equal">
      <formula>"3级"</formula>
    </cfRule>
  </conditionalFormatting>
  <conditionalFormatting sqref="E198">
    <cfRule type="cellIs" dxfId="7" priority="3602" operator="equal">
      <formula>"500/510/IVOC"</formula>
    </cfRule>
    <cfRule type="cellIs" dxfId="6" priority="3598" operator="equal">
      <formula>"500/510"</formula>
    </cfRule>
    <cfRule type="cellIs" dxfId="5" priority="3594" operator="equal">
      <formula>"IVOC"</formula>
    </cfRule>
    <cfRule type="cellIs" dxfId="2" priority="3590" operator="equal">
      <formula>"新增"</formula>
    </cfRule>
    <cfRule type="cellIs" dxfId="13" priority="3586" operator="equal">
      <formula>"优化"</formula>
    </cfRule>
    <cfRule type="cellIs" dxfId="12" priority="3582" operator="equal">
      <formula>"更新"</formula>
    </cfRule>
    <cfRule type="cellIs" dxfId="11" priority="3578" operator="equal">
      <formula>"废弃"</formula>
    </cfRule>
    <cfRule type="cellIs" dxfId="1" priority="3550" operator="equal">
      <formula>"新增"</formula>
    </cfRule>
  </conditionalFormatting>
  <conditionalFormatting sqref="L198">
    <cfRule type="cellIs" dxfId="1" priority="603" operator="equal">
      <formula>"通过"</formula>
    </cfRule>
    <cfRule type="cellIs" dxfId="0" priority="436" operator="equal">
      <formula>"不通过"</formula>
    </cfRule>
    <cfRule type="cellIs" dxfId="8" priority="269" operator="equal">
      <formula>"堵塞"</formula>
    </cfRule>
  </conditionalFormatting>
  <conditionalFormatting sqref="C199">
    <cfRule type="cellIs" dxfId="10" priority="3613" operator="equal">
      <formula>"1级"</formula>
    </cfRule>
    <cfRule type="cellIs" dxfId="2" priority="3609" operator="equal">
      <formula>"2级"</formula>
    </cfRule>
    <cfRule type="cellIs" dxfId="9" priority="3605" operator="equal">
      <formula>"3级"</formula>
    </cfRule>
  </conditionalFormatting>
  <conditionalFormatting sqref="E199">
    <cfRule type="cellIs" dxfId="7" priority="3601" operator="equal">
      <formula>"500/510/IVOC"</formula>
    </cfRule>
    <cfRule type="cellIs" dxfId="6" priority="3597" operator="equal">
      <formula>"500/510"</formula>
    </cfRule>
    <cfRule type="cellIs" dxfId="5" priority="3593" operator="equal">
      <formula>"IVOC"</formula>
    </cfRule>
    <cfRule type="cellIs" dxfId="2" priority="3589" operator="equal">
      <formula>"新增"</formula>
    </cfRule>
    <cfRule type="cellIs" dxfId="13" priority="3585" operator="equal">
      <formula>"优化"</formula>
    </cfRule>
    <cfRule type="cellIs" dxfId="12" priority="3581" operator="equal">
      <formula>"更新"</formula>
    </cfRule>
    <cfRule type="cellIs" dxfId="11" priority="3577" operator="equal">
      <formula>"废弃"</formula>
    </cfRule>
    <cfRule type="cellIs" dxfId="1" priority="3549" operator="equal">
      <formula>"新增"</formula>
    </cfRule>
  </conditionalFormatting>
  <conditionalFormatting sqref="L199">
    <cfRule type="cellIs" dxfId="1" priority="602" operator="equal">
      <formula>"通过"</formula>
    </cfRule>
    <cfRule type="cellIs" dxfId="0" priority="435" operator="equal">
      <formula>"不通过"</formula>
    </cfRule>
    <cfRule type="cellIs" dxfId="8" priority="268" operator="equal">
      <formula>"堵塞"</formula>
    </cfRule>
  </conditionalFormatting>
  <conditionalFormatting sqref="C200">
    <cfRule type="cellIs" dxfId="10" priority="3612" operator="equal">
      <formula>"1级"</formula>
    </cfRule>
    <cfRule type="cellIs" dxfId="2" priority="3608" operator="equal">
      <formula>"2级"</formula>
    </cfRule>
    <cfRule type="cellIs" dxfId="9" priority="3604" operator="equal">
      <formula>"3级"</formula>
    </cfRule>
  </conditionalFormatting>
  <conditionalFormatting sqref="E200">
    <cfRule type="cellIs" dxfId="7" priority="3600" operator="equal">
      <formula>"500/510/IVOC"</formula>
    </cfRule>
    <cfRule type="cellIs" dxfId="6" priority="3596" operator="equal">
      <formula>"500/510"</formula>
    </cfRule>
    <cfRule type="cellIs" dxfId="5" priority="3592" operator="equal">
      <formula>"IVOC"</formula>
    </cfRule>
    <cfRule type="cellIs" dxfId="2" priority="3588" operator="equal">
      <formula>"新增"</formula>
    </cfRule>
    <cfRule type="cellIs" dxfId="13" priority="3584" operator="equal">
      <formula>"优化"</formula>
    </cfRule>
    <cfRule type="cellIs" dxfId="12" priority="3580" operator="equal">
      <formula>"更新"</formula>
    </cfRule>
    <cfRule type="cellIs" dxfId="11" priority="3576" operator="equal">
      <formula>"废弃"</formula>
    </cfRule>
    <cfRule type="cellIs" dxfId="1" priority="3548" operator="equal">
      <formula>"新增"</formula>
    </cfRule>
  </conditionalFormatting>
  <conditionalFormatting sqref="L200">
    <cfRule type="cellIs" dxfId="1" priority="601" operator="equal">
      <formula>"通过"</formula>
    </cfRule>
    <cfRule type="cellIs" dxfId="0" priority="434" operator="equal">
      <formula>"不通过"</formula>
    </cfRule>
    <cfRule type="cellIs" dxfId="8" priority="267" operator="equal">
      <formula>"堵塞"</formula>
    </cfRule>
  </conditionalFormatting>
  <conditionalFormatting sqref="C201">
    <cfRule type="cellIs" dxfId="10" priority="3611" operator="equal">
      <formula>"1级"</formula>
    </cfRule>
    <cfRule type="cellIs" dxfId="2" priority="3607" operator="equal">
      <formula>"2级"</formula>
    </cfRule>
    <cfRule type="cellIs" dxfId="9" priority="3603" operator="equal">
      <formula>"3级"</formula>
    </cfRule>
  </conditionalFormatting>
  <conditionalFormatting sqref="E201">
    <cfRule type="cellIs" dxfId="7" priority="3599" operator="equal">
      <formula>"500/510/IVOC"</formula>
    </cfRule>
    <cfRule type="cellIs" dxfId="6" priority="3595" operator="equal">
      <formula>"500/510"</formula>
    </cfRule>
    <cfRule type="cellIs" dxfId="5" priority="3591" operator="equal">
      <formula>"IVOC"</formula>
    </cfRule>
    <cfRule type="cellIs" dxfId="2" priority="3587" operator="equal">
      <formula>"新增"</formula>
    </cfRule>
    <cfRule type="cellIs" dxfId="13" priority="3583" operator="equal">
      <formula>"优化"</formula>
    </cfRule>
    <cfRule type="cellIs" dxfId="12" priority="3579" operator="equal">
      <formula>"更新"</formula>
    </cfRule>
    <cfRule type="cellIs" dxfId="11" priority="3575" operator="equal">
      <formula>"废弃"</formula>
    </cfRule>
    <cfRule type="cellIs" dxfId="1" priority="3547" operator="equal">
      <formula>"新增"</formula>
    </cfRule>
  </conditionalFormatting>
  <conditionalFormatting sqref="L201">
    <cfRule type="cellIs" dxfId="1" priority="600" operator="equal">
      <formula>"通过"</formula>
    </cfRule>
    <cfRule type="cellIs" dxfId="0" priority="433" operator="equal">
      <formula>"不通过"</formula>
    </cfRule>
    <cfRule type="cellIs" dxfId="8" priority="266" operator="equal">
      <formula>"堵塞"</formula>
    </cfRule>
  </conditionalFormatting>
  <conditionalFormatting sqref="C202">
    <cfRule type="cellIs" dxfId="10" priority="3542" operator="equal">
      <formula>"1级"</formula>
    </cfRule>
    <cfRule type="cellIs" dxfId="2" priority="3541" operator="equal">
      <formula>"2级"</formula>
    </cfRule>
    <cfRule type="cellIs" dxfId="9" priority="3540" operator="equal">
      <formula>"3级"</formula>
    </cfRule>
  </conditionalFormatting>
  <conditionalFormatting sqref="E202">
    <cfRule type="cellIs" dxfId="7" priority="3539" operator="equal">
      <formula>"500/510/IVOC"</formula>
    </cfRule>
    <cfRule type="cellIs" dxfId="6" priority="3538" operator="equal">
      <formula>"500/510"</formula>
    </cfRule>
    <cfRule type="cellIs" dxfId="5" priority="3537" operator="equal">
      <formula>"IVOC"</formula>
    </cfRule>
    <cfRule type="cellIs" dxfId="2" priority="3536" operator="equal">
      <formula>"新增"</formula>
    </cfRule>
    <cfRule type="cellIs" dxfId="13" priority="3535" operator="equal">
      <formula>"优化"</formula>
    </cfRule>
    <cfRule type="cellIs" dxfId="12" priority="3534" operator="equal">
      <formula>"更新"</formula>
    </cfRule>
    <cfRule type="cellIs" dxfId="11" priority="3533" operator="equal">
      <formula>"废弃"</formula>
    </cfRule>
    <cfRule type="cellIs" dxfId="1" priority="3526" operator="equal">
      <formula>"新增"</formula>
    </cfRule>
  </conditionalFormatting>
  <conditionalFormatting sqref="L202">
    <cfRule type="cellIs" dxfId="1" priority="599" operator="equal">
      <formula>"通过"</formula>
    </cfRule>
    <cfRule type="cellIs" dxfId="0" priority="432" operator="equal">
      <formula>"不通过"</formula>
    </cfRule>
    <cfRule type="cellIs" dxfId="8" priority="265" operator="equal">
      <formula>"堵塞"</formula>
    </cfRule>
  </conditionalFormatting>
  <conditionalFormatting sqref="C203">
    <cfRule type="cellIs" dxfId="10" priority="3524" operator="equal">
      <formula>"1级"</formula>
    </cfRule>
    <cfRule type="cellIs" dxfId="2" priority="3520" operator="equal">
      <formula>"2级"</formula>
    </cfRule>
    <cfRule type="cellIs" dxfId="9" priority="3516" operator="equal">
      <formula>"3级"</formula>
    </cfRule>
  </conditionalFormatting>
  <conditionalFormatting sqref="E203">
    <cfRule type="cellIs" dxfId="7" priority="3512" operator="equal">
      <formula>"500/510/IVOC"</formula>
    </cfRule>
    <cfRule type="cellIs" dxfId="6" priority="3508" operator="equal">
      <formula>"500/510"</formula>
    </cfRule>
    <cfRule type="cellIs" dxfId="5" priority="3504" operator="equal">
      <formula>"IVOC"</formula>
    </cfRule>
    <cfRule type="cellIs" dxfId="2" priority="3500" operator="equal">
      <formula>"新增"</formula>
    </cfRule>
    <cfRule type="cellIs" dxfId="13" priority="3496" operator="equal">
      <formula>"优化"</formula>
    </cfRule>
    <cfRule type="cellIs" dxfId="12" priority="3492" operator="equal">
      <formula>"更新"</formula>
    </cfRule>
    <cfRule type="cellIs" dxfId="11" priority="3488" operator="equal">
      <formula>"废弃"</formula>
    </cfRule>
    <cfRule type="cellIs" dxfId="1" priority="3460" operator="equal">
      <formula>"新增"</formula>
    </cfRule>
  </conditionalFormatting>
  <conditionalFormatting sqref="L203">
    <cfRule type="cellIs" dxfId="1" priority="598" operator="equal">
      <formula>"通过"</formula>
    </cfRule>
    <cfRule type="cellIs" dxfId="0" priority="431" operator="equal">
      <formula>"不通过"</formula>
    </cfRule>
    <cfRule type="cellIs" dxfId="8" priority="264" operator="equal">
      <formula>"堵塞"</formula>
    </cfRule>
  </conditionalFormatting>
  <conditionalFormatting sqref="C204">
    <cfRule type="cellIs" dxfId="10" priority="3523" operator="equal">
      <formula>"1级"</formula>
    </cfRule>
    <cfRule type="cellIs" dxfId="2" priority="3519" operator="equal">
      <formula>"2级"</formula>
    </cfRule>
    <cfRule type="cellIs" dxfId="9" priority="3515" operator="equal">
      <formula>"3级"</formula>
    </cfRule>
  </conditionalFormatting>
  <conditionalFormatting sqref="E204">
    <cfRule type="cellIs" dxfId="7" priority="3511" operator="equal">
      <formula>"500/510/IVOC"</formula>
    </cfRule>
    <cfRule type="cellIs" dxfId="6" priority="3507" operator="equal">
      <formula>"500/510"</formula>
    </cfRule>
    <cfRule type="cellIs" dxfId="5" priority="3503" operator="equal">
      <formula>"IVOC"</formula>
    </cfRule>
    <cfRule type="cellIs" dxfId="2" priority="3499" operator="equal">
      <formula>"新增"</formula>
    </cfRule>
    <cfRule type="cellIs" dxfId="13" priority="3495" operator="equal">
      <formula>"优化"</formula>
    </cfRule>
    <cfRule type="cellIs" dxfId="12" priority="3491" operator="equal">
      <formula>"更新"</formula>
    </cfRule>
    <cfRule type="cellIs" dxfId="11" priority="3487" operator="equal">
      <formula>"废弃"</formula>
    </cfRule>
    <cfRule type="cellIs" dxfId="1" priority="3459" operator="equal">
      <formula>"新增"</formula>
    </cfRule>
  </conditionalFormatting>
  <conditionalFormatting sqref="L204">
    <cfRule type="cellIs" dxfId="1" priority="597" operator="equal">
      <formula>"通过"</formula>
    </cfRule>
    <cfRule type="cellIs" dxfId="0" priority="430" operator="equal">
      <formula>"不通过"</formula>
    </cfRule>
    <cfRule type="cellIs" dxfId="8" priority="263" operator="equal">
      <formula>"堵塞"</formula>
    </cfRule>
  </conditionalFormatting>
  <conditionalFormatting sqref="C205">
    <cfRule type="cellIs" dxfId="10" priority="3522" operator="equal">
      <formula>"1级"</formula>
    </cfRule>
    <cfRule type="cellIs" dxfId="2" priority="3518" operator="equal">
      <formula>"2级"</formula>
    </cfRule>
    <cfRule type="cellIs" dxfId="9" priority="3514" operator="equal">
      <formula>"3级"</formula>
    </cfRule>
  </conditionalFormatting>
  <conditionalFormatting sqref="E205">
    <cfRule type="cellIs" dxfId="7" priority="3510" operator="equal">
      <formula>"500/510/IVOC"</formula>
    </cfRule>
    <cfRule type="cellIs" dxfId="6" priority="3506" operator="equal">
      <formula>"500/510"</formula>
    </cfRule>
    <cfRule type="cellIs" dxfId="5" priority="3502" operator="equal">
      <formula>"IVOC"</formula>
    </cfRule>
    <cfRule type="cellIs" dxfId="2" priority="3498" operator="equal">
      <formula>"新增"</formula>
    </cfRule>
    <cfRule type="cellIs" dxfId="13" priority="3494" operator="equal">
      <formula>"优化"</formula>
    </cfRule>
    <cfRule type="cellIs" dxfId="12" priority="3490" operator="equal">
      <formula>"更新"</formula>
    </cfRule>
    <cfRule type="cellIs" dxfId="11" priority="3486" operator="equal">
      <formula>"废弃"</formula>
    </cfRule>
    <cfRule type="cellIs" dxfId="1" priority="3458" operator="equal">
      <formula>"新增"</formula>
    </cfRule>
  </conditionalFormatting>
  <conditionalFormatting sqref="L205">
    <cfRule type="cellIs" dxfId="1" priority="596" operator="equal">
      <formula>"通过"</formula>
    </cfRule>
    <cfRule type="cellIs" dxfId="0" priority="429" operator="equal">
      <formula>"不通过"</formula>
    </cfRule>
    <cfRule type="cellIs" dxfId="8" priority="262" operator="equal">
      <formula>"堵塞"</formula>
    </cfRule>
  </conditionalFormatting>
  <conditionalFormatting sqref="C206">
    <cfRule type="cellIs" dxfId="10" priority="3521" operator="equal">
      <formula>"1级"</formula>
    </cfRule>
    <cfRule type="cellIs" dxfId="2" priority="3517" operator="equal">
      <formula>"2级"</formula>
    </cfRule>
    <cfRule type="cellIs" dxfId="9" priority="3513" operator="equal">
      <formula>"3级"</formula>
    </cfRule>
  </conditionalFormatting>
  <conditionalFormatting sqref="E206">
    <cfRule type="cellIs" dxfId="7" priority="3509" operator="equal">
      <formula>"500/510/IVOC"</formula>
    </cfRule>
    <cfRule type="cellIs" dxfId="6" priority="3505" operator="equal">
      <formula>"500/510"</formula>
    </cfRule>
    <cfRule type="cellIs" dxfId="5" priority="3501" operator="equal">
      <formula>"IVOC"</formula>
    </cfRule>
    <cfRule type="cellIs" dxfId="2" priority="3497" operator="equal">
      <formula>"新增"</formula>
    </cfRule>
    <cfRule type="cellIs" dxfId="13" priority="3493" operator="equal">
      <formula>"优化"</formula>
    </cfRule>
    <cfRule type="cellIs" dxfId="12" priority="3489" operator="equal">
      <formula>"更新"</formula>
    </cfRule>
    <cfRule type="cellIs" dxfId="11" priority="3485" operator="equal">
      <formula>"废弃"</formula>
    </cfRule>
    <cfRule type="cellIs" dxfId="1" priority="3457" operator="equal">
      <formula>"新增"</formula>
    </cfRule>
  </conditionalFormatting>
  <conditionalFormatting sqref="L206">
    <cfRule type="cellIs" dxfId="1" priority="595" operator="equal">
      <formula>"通过"</formula>
    </cfRule>
    <cfRule type="cellIs" dxfId="0" priority="428" operator="equal">
      <formula>"不通过"</formula>
    </cfRule>
    <cfRule type="cellIs" dxfId="8" priority="261" operator="equal">
      <formula>"堵塞"</formula>
    </cfRule>
  </conditionalFormatting>
  <conditionalFormatting sqref="C207">
    <cfRule type="cellIs" dxfId="10" priority="3452" operator="equal">
      <formula>"1级"</formula>
    </cfRule>
    <cfRule type="cellIs" dxfId="2" priority="3451" operator="equal">
      <formula>"2级"</formula>
    </cfRule>
    <cfRule type="cellIs" dxfId="9" priority="3450" operator="equal">
      <formula>"3级"</formula>
    </cfRule>
  </conditionalFormatting>
  <conditionalFormatting sqref="E207">
    <cfRule type="cellIs" dxfId="7" priority="3449" operator="equal">
      <formula>"500/510/IVOC"</formula>
    </cfRule>
    <cfRule type="cellIs" dxfId="6" priority="3448" operator="equal">
      <formula>"500/510"</formula>
    </cfRule>
    <cfRule type="cellIs" dxfId="5" priority="3447" operator="equal">
      <formula>"IVOC"</formula>
    </cfRule>
    <cfRule type="cellIs" dxfId="2" priority="3446" operator="equal">
      <formula>"新增"</formula>
    </cfRule>
    <cfRule type="cellIs" dxfId="13" priority="3445" operator="equal">
      <formula>"优化"</formula>
    </cfRule>
    <cfRule type="cellIs" dxfId="12" priority="3444" operator="equal">
      <formula>"更新"</formula>
    </cfRule>
    <cfRule type="cellIs" dxfId="11" priority="3443" operator="equal">
      <formula>"废弃"</formula>
    </cfRule>
    <cfRule type="cellIs" dxfId="1" priority="3436" operator="equal">
      <formula>"新增"</formula>
    </cfRule>
  </conditionalFormatting>
  <conditionalFormatting sqref="L207">
    <cfRule type="cellIs" dxfId="1" priority="594" operator="equal">
      <formula>"通过"</formula>
    </cfRule>
    <cfRule type="cellIs" dxfId="0" priority="427" operator="equal">
      <formula>"不通过"</formula>
    </cfRule>
    <cfRule type="cellIs" dxfId="8" priority="260" operator="equal">
      <formula>"堵塞"</formula>
    </cfRule>
  </conditionalFormatting>
  <conditionalFormatting sqref="C208">
    <cfRule type="cellIs" dxfId="10" priority="3434" operator="equal">
      <formula>"1级"</formula>
    </cfRule>
    <cfRule type="cellIs" dxfId="2" priority="3430" operator="equal">
      <formula>"2级"</formula>
    </cfRule>
    <cfRule type="cellIs" dxfId="9" priority="3426" operator="equal">
      <formula>"3级"</formula>
    </cfRule>
  </conditionalFormatting>
  <conditionalFormatting sqref="E208">
    <cfRule type="cellIs" dxfId="7" priority="3422" operator="equal">
      <formula>"500/510/IVOC"</formula>
    </cfRule>
    <cfRule type="cellIs" dxfId="6" priority="3418" operator="equal">
      <formula>"500/510"</formula>
    </cfRule>
    <cfRule type="cellIs" dxfId="5" priority="3414" operator="equal">
      <formula>"IVOC"</formula>
    </cfRule>
    <cfRule type="cellIs" dxfId="2" priority="3410" operator="equal">
      <formula>"新增"</formula>
    </cfRule>
    <cfRule type="cellIs" dxfId="13" priority="3406" operator="equal">
      <formula>"优化"</formula>
    </cfRule>
    <cfRule type="cellIs" dxfId="12" priority="3402" operator="equal">
      <formula>"更新"</formula>
    </cfRule>
    <cfRule type="cellIs" dxfId="11" priority="3398" operator="equal">
      <formula>"废弃"</formula>
    </cfRule>
    <cfRule type="cellIs" dxfId="1" priority="3370" operator="equal">
      <formula>"新增"</formula>
    </cfRule>
  </conditionalFormatting>
  <conditionalFormatting sqref="L208">
    <cfRule type="cellIs" dxfId="1" priority="593" operator="equal">
      <formula>"通过"</formula>
    </cfRule>
    <cfRule type="cellIs" dxfId="0" priority="426" operator="equal">
      <formula>"不通过"</formula>
    </cfRule>
    <cfRule type="cellIs" dxfId="8" priority="259" operator="equal">
      <formula>"堵塞"</formula>
    </cfRule>
  </conditionalFormatting>
  <conditionalFormatting sqref="C209">
    <cfRule type="cellIs" dxfId="10" priority="3433" operator="equal">
      <formula>"1级"</formula>
    </cfRule>
    <cfRule type="cellIs" dxfId="2" priority="3429" operator="equal">
      <formula>"2级"</formula>
    </cfRule>
    <cfRule type="cellIs" dxfId="9" priority="3425" operator="equal">
      <formula>"3级"</formula>
    </cfRule>
  </conditionalFormatting>
  <conditionalFormatting sqref="E209">
    <cfRule type="cellIs" dxfId="7" priority="3421" operator="equal">
      <formula>"500/510/IVOC"</formula>
    </cfRule>
    <cfRule type="cellIs" dxfId="6" priority="3417" operator="equal">
      <formula>"500/510"</formula>
    </cfRule>
    <cfRule type="cellIs" dxfId="5" priority="3413" operator="equal">
      <formula>"IVOC"</formula>
    </cfRule>
    <cfRule type="cellIs" dxfId="2" priority="3409" operator="equal">
      <formula>"新增"</formula>
    </cfRule>
    <cfRule type="cellIs" dxfId="13" priority="3405" operator="equal">
      <formula>"优化"</formula>
    </cfRule>
    <cfRule type="cellIs" dxfId="12" priority="3401" operator="equal">
      <formula>"更新"</formula>
    </cfRule>
    <cfRule type="cellIs" dxfId="11" priority="3397" operator="equal">
      <formula>"废弃"</formula>
    </cfRule>
    <cfRule type="cellIs" dxfId="1" priority="3369" operator="equal">
      <formula>"新增"</formula>
    </cfRule>
  </conditionalFormatting>
  <conditionalFormatting sqref="L209">
    <cfRule type="cellIs" dxfId="1" priority="592" operator="equal">
      <formula>"通过"</formula>
    </cfRule>
    <cfRule type="cellIs" dxfId="0" priority="425" operator="equal">
      <formula>"不通过"</formula>
    </cfRule>
    <cfRule type="cellIs" dxfId="8" priority="258" operator="equal">
      <formula>"堵塞"</formula>
    </cfRule>
  </conditionalFormatting>
  <conditionalFormatting sqref="C210">
    <cfRule type="cellIs" dxfId="10" priority="3432" operator="equal">
      <formula>"1级"</formula>
    </cfRule>
    <cfRule type="cellIs" dxfId="2" priority="3428" operator="equal">
      <formula>"2级"</formula>
    </cfRule>
    <cfRule type="cellIs" dxfId="9" priority="3424" operator="equal">
      <formula>"3级"</formula>
    </cfRule>
  </conditionalFormatting>
  <conditionalFormatting sqref="E210">
    <cfRule type="cellIs" dxfId="7" priority="3420" operator="equal">
      <formula>"500/510/IVOC"</formula>
    </cfRule>
    <cfRule type="cellIs" dxfId="6" priority="3416" operator="equal">
      <formula>"500/510"</formula>
    </cfRule>
    <cfRule type="cellIs" dxfId="5" priority="3412" operator="equal">
      <formula>"IVOC"</formula>
    </cfRule>
    <cfRule type="cellIs" dxfId="2" priority="3408" operator="equal">
      <formula>"新增"</formula>
    </cfRule>
    <cfRule type="cellIs" dxfId="13" priority="3404" operator="equal">
      <formula>"优化"</formula>
    </cfRule>
    <cfRule type="cellIs" dxfId="12" priority="3400" operator="equal">
      <formula>"更新"</formula>
    </cfRule>
    <cfRule type="cellIs" dxfId="11" priority="3396" operator="equal">
      <formula>"废弃"</formula>
    </cfRule>
    <cfRule type="cellIs" dxfId="1" priority="3368" operator="equal">
      <formula>"新增"</formula>
    </cfRule>
  </conditionalFormatting>
  <conditionalFormatting sqref="L210">
    <cfRule type="cellIs" dxfId="1" priority="591" operator="equal">
      <formula>"通过"</formula>
    </cfRule>
    <cfRule type="cellIs" dxfId="0" priority="424" operator="equal">
      <formula>"不通过"</formula>
    </cfRule>
    <cfRule type="cellIs" dxfId="8" priority="257" operator="equal">
      <formula>"堵塞"</formula>
    </cfRule>
  </conditionalFormatting>
  <conditionalFormatting sqref="C211">
    <cfRule type="cellIs" dxfId="10" priority="3431" operator="equal">
      <formula>"1级"</formula>
    </cfRule>
    <cfRule type="cellIs" dxfId="2" priority="3427" operator="equal">
      <formula>"2级"</formula>
    </cfRule>
    <cfRule type="cellIs" dxfId="9" priority="3423" operator="equal">
      <formula>"3级"</formula>
    </cfRule>
  </conditionalFormatting>
  <conditionalFormatting sqref="E211">
    <cfRule type="cellIs" dxfId="7" priority="3419" operator="equal">
      <formula>"500/510/IVOC"</formula>
    </cfRule>
    <cfRule type="cellIs" dxfId="6" priority="3415" operator="equal">
      <formula>"500/510"</formula>
    </cfRule>
    <cfRule type="cellIs" dxfId="5" priority="3411" operator="equal">
      <formula>"IVOC"</formula>
    </cfRule>
    <cfRule type="cellIs" dxfId="2" priority="3407" operator="equal">
      <formula>"新增"</formula>
    </cfRule>
    <cfRule type="cellIs" dxfId="13" priority="3403" operator="equal">
      <formula>"优化"</formula>
    </cfRule>
    <cfRule type="cellIs" dxfId="12" priority="3399" operator="equal">
      <formula>"更新"</formula>
    </cfRule>
    <cfRule type="cellIs" dxfId="11" priority="3395" operator="equal">
      <formula>"废弃"</formula>
    </cfRule>
    <cfRule type="cellIs" dxfId="1" priority="3367" operator="equal">
      <formula>"新增"</formula>
    </cfRule>
  </conditionalFormatting>
  <conditionalFormatting sqref="L211">
    <cfRule type="cellIs" dxfId="1" priority="590" operator="equal">
      <formula>"通过"</formula>
    </cfRule>
    <cfRule type="cellIs" dxfId="0" priority="423" operator="equal">
      <formula>"不通过"</formula>
    </cfRule>
    <cfRule type="cellIs" dxfId="8" priority="256" operator="equal">
      <formula>"堵塞"</formula>
    </cfRule>
  </conditionalFormatting>
  <conditionalFormatting sqref="C212">
    <cfRule type="cellIs" dxfId="10" priority="3362" operator="equal">
      <formula>"1级"</formula>
    </cfRule>
    <cfRule type="cellIs" dxfId="2" priority="3361" operator="equal">
      <formula>"2级"</formula>
    </cfRule>
    <cfRule type="cellIs" dxfId="9" priority="3360" operator="equal">
      <formula>"3级"</formula>
    </cfRule>
  </conditionalFormatting>
  <conditionalFormatting sqref="E212">
    <cfRule type="cellIs" dxfId="7" priority="3359" operator="equal">
      <formula>"500/510/IVOC"</formula>
    </cfRule>
    <cfRule type="cellIs" dxfId="6" priority="3358" operator="equal">
      <formula>"500/510"</formula>
    </cfRule>
    <cfRule type="cellIs" dxfId="5" priority="3357" operator="equal">
      <formula>"IVOC"</formula>
    </cfRule>
    <cfRule type="cellIs" dxfId="2" priority="3356" operator="equal">
      <formula>"新增"</formula>
    </cfRule>
    <cfRule type="cellIs" dxfId="13" priority="3355" operator="equal">
      <formula>"优化"</formula>
    </cfRule>
    <cfRule type="cellIs" dxfId="12" priority="3354" operator="equal">
      <formula>"更新"</formula>
    </cfRule>
    <cfRule type="cellIs" dxfId="11" priority="3353" operator="equal">
      <formula>"废弃"</formula>
    </cfRule>
    <cfRule type="cellIs" dxfId="1" priority="3346" operator="equal">
      <formula>"新增"</formula>
    </cfRule>
  </conditionalFormatting>
  <conditionalFormatting sqref="L212">
    <cfRule type="cellIs" dxfId="1" priority="589" operator="equal">
      <formula>"通过"</formula>
    </cfRule>
    <cfRule type="cellIs" dxfId="0" priority="422" operator="equal">
      <formula>"不通过"</formula>
    </cfRule>
    <cfRule type="cellIs" dxfId="8" priority="255" operator="equal">
      <formula>"堵塞"</formula>
    </cfRule>
  </conditionalFormatting>
  <conditionalFormatting sqref="C213">
    <cfRule type="cellIs" dxfId="10" priority="3344" operator="equal">
      <formula>"1级"</formula>
    </cfRule>
    <cfRule type="cellIs" dxfId="2" priority="3340" operator="equal">
      <formula>"2级"</formula>
    </cfRule>
    <cfRule type="cellIs" dxfId="9" priority="3336" operator="equal">
      <formula>"3级"</formula>
    </cfRule>
  </conditionalFormatting>
  <conditionalFormatting sqref="E213">
    <cfRule type="cellIs" dxfId="7" priority="3332" operator="equal">
      <formula>"500/510/IVOC"</formula>
    </cfRule>
    <cfRule type="cellIs" dxfId="6" priority="3328" operator="equal">
      <formula>"500/510"</formula>
    </cfRule>
    <cfRule type="cellIs" dxfId="5" priority="3324" operator="equal">
      <formula>"IVOC"</formula>
    </cfRule>
    <cfRule type="cellIs" dxfId="2" priority="3320" operator="equal">
      <formula>"新增"</formula>
    </cfRule>
    <cfRule type="cellIs" dxfId="13" priority="3316" operator="equal">
      <formula>"优化"</formula>
    </cfRule>
    <cfRule type="cellIs" dxfId="12" priority="3312" operator="equal">
      <formula>"更新"</formula>
    </cfRule>
    <cfRule type="cellIs" dxfId="11" priority="3308" operator="equal">
      <formula>"废弃"</formula>
    </cfRule>
    <cfRule type="cellIs" dxfId="1" priority="3280" operator="equal">
      <formula>"新增"</formula>
    </cfRule>
  </conditionalFormatting>
  <conditionalFormatting sqref="L213">
    <cfRule type="cellIs" dxfId="1" priority="588" operator="equal">
      <formula>"通过"</formula>
    </cfRule>
    <cfRule type="cellIs" dxfId="0" priority="421" operator="equal">
      <formula>"不通过"</formula>
    </cfRule>
    <cfRule type="cellIs" dxfId="8" priority="254" operator="equal">
      <formula>"堵塞"</formula>
    </cfRule>
  </conditionalFormatting>
  <conditionalFormatting sqref="C214">
    <cfRule type="cellIs" dxfId="10" priority="3343" operator="equal">
      <formula>"1级"</formula>
    </cfRule>
    <cfRule type="cellIs" dxfId="2" priority="3339" operator="equal">
      <formula>"2级"</formula>
    </cfRule>
    <cfRule type="cellIs" dxfId="9" priority="3335" operator="equal">
      <formula>"3级"</formula>
    </cfRule>
  </conditionalFormatting>
  <conditionalFormatting sqref="E214">
    <cfRule type="cellIs" dxfId="7" priority="3331" operator="equal">
      <formula>"500/510/IVOC"</formula>
    </cfRule>
    <cfRule type="cellIs" dxfId="6" priority="3327" operator="equal">
      <formula>"500/510"</formula>
    </cfRule>
    <cfRule type="cellIs" dxfId="5" priority="3323" operator="equal">
      <formula>"IVOC"</formula>
    </cfRule>
    <cfRule type="cellIs" dxfId="2" priority="3319" operator="equal">
      <formula>"新增"</formula>
    </cfRule>
    <cfRule type="cellIs" dxfId="13" priority="3315" operator="equal">
      <formula>"优化"</formula>
    </cfRule>
    <cfRule type="cellIs" dxfId="12" priority="3311" operator="equal">
      <formula>"更新"</formula>
    </cfRule>
    <cfRule type="cellIs" dxfId="11" priority="3307" operator="equal">
      <formula>"废弃"</formula>
    </cfRule>
    <cfRule type="cellIs" dxfId="1" priority="3279" operator="equal">
      <formula>"新增"</formula>
    </cfRule>
  </conditionalFormatting>
  <conditionalFormatting sqref="L214">
    <cfRule type="cellIs" dxfId="1" priority="587" operator="equal">
      <formula>"通过"</formula>
    </cfRule>
    <cfRule type="cellIs" dxfId="0" priority="420" operator="equal">
      <formula>"不通过"</formula>
    </cfRule>
    <cfRule type="cellIs" dxfId="8" priority="253" operator="equal">
      <formula>"堵塞"</formula>
    </cfRule>
  </conditionalFormatting>
  <conditionalFormatting sqref="C215">
    <cfRule type="cellIs" dxfId="10" priority="3342" operator="equal">
      <formula>"1级"</formula>
    </cfRule>
    <cfRule type="cellIs" dxfId="2" priority="3338" operator="equal">
      <formula>"2级"</formula>
    </cfRule>
    <cfRule type="cellIs" dxfId="9" priority="3334" operator="equal">
      <formula>"3级"</formula>
    </cfRule>
  </conditionalFormatting>
  <conditionalFormatting sqref="E215">
    <cfRule type="cellIs" dxfId="7" priority="3330" operator="equal">
      <formula>"500/510/IVOC"</formula>
    </cfRule>
    <cfRule type="cellIs" dxfId="6" priority="3326" operator="equal">
      <formula>"500/510"</formula>
    </cfRule>
    <cfRule type="cellIs" dxfId="5" priority="3322" operator="equal">
      <formula>"IVOC"</formula>
    </cfRule>
    <cfRule type="cellIs" dxfId="2" priority="3318" operator="equal">
      <formula>"新增"</formula>
    </cfRule>
    <cfRule type="cellIs" dxfId="13" priority="3314" operator="equal">
      <formula>"优化"</formula>
    </cfRule>
    <cfRule type="cellIs" dxfId="12" priority="3310" operator="equal">
      <formula>"更新"</formula>
    </cfRule>
    <cfRule type="cellIs" dxfId="11" priority="3306" operator="equal">
      <formula>"废弃"</formula>
    </cfRule>
    <cfRule type="cellIs" dxfId="1" priority="3278" operator="equal">
      <formula>"新增"</formula>
    </cfRule>
  </conditionalFormatting>
  <conditionalFormatting sqref="L215">
    <cfRule type="cellIs" dxfId="1" priority="586" operator="equal">
      <formula>"通过"</formula>
    </cfRule>
    <cfRule type="cellIs" dxfId="0" priority="419" operator="equal">
      <formula>"不通过"</formula>
    </cfRule>
    <cfRule type="cellIs" dxfId="8" priority="252" operator="equal">
      <formula>"堵塞"</formula>
    </cfRule>
  </conditionalFormatting>
  <conditionalFormatting sqref="C216">
    <cfRule type="cellIs" dxfId="10" priority="3341" operator="equal">
      <formula>"1级"</formula>
    </cfRule>
    <cfRule type="cellIs" dxfId="2" priority="3337" operator="equal">
      <formula>"2级"</formula>
    </cfRule>
    <cfRule type="cellIs" dxfId="9" priority="3333" operator="equal">
      <formula>"3级"</formula>
    </cfRule>
  </conditionalFormatting>
  <conditionalFormatting sqref="E216">
    <cfRule type="cellIs" dxfId="7" priority="3329" operator="equal">
      <formula>"500/510/IVOC"</formula>
    </cfRule>
    <cfRule type="cellIs" dxfId="6" priority="3325" operator="equal">
      <formula>"500/510"</formula>
    </cfRule>
    <cfRule type="cellIs" dxfId="5" priority="3321" operator="equal">
      <formula>"IVOC"</formula>
    </cfRule>
    <cfRule type="cellIs" dxfId="2" priority="3317" operator="equal">
      <formula>"新增"</formula>
    </cfRule>
    <cfRule type="cellIs" dxfId="13" priority="3313" operator="equal">
      <formula>"优化"</formula>
    </cfRule>
    <cfRule type="cellIs" dxfId="12" priority="3309" operator="equal">
      <formula>"更新"</formula>
    </cfRule>
    <cfRule type="cellIs" dxfId="11" priority="3305" operator="equal">
      <formula>"废弃"</formula>
    </cfRule>
    <cfRule type="cellIs" dxfId="1" priority="3277" operator="equal">
      <formula>"新增"</formula>
    </cfRule>
  </conditionalFormatting>
  <conditionalFormatting sqref="L216">
    <cfRule type="cellIs" dxfId="1" priority="585" operator="equal">
      <formula>"通过"</formula>
    </cfRule>
    <cfRule type="cellIs" dxfId="0" priority="418" operator="equal">
      <formula>"不通过"</formula>
    </cfRule>
    <cfRule type="cellIs" dxfId="8" priority="251" operator="equal">
      <formula>"堵塞"</formula>
    </cfRule>
  </conditionalFormatting>
  <conditionalFormatting sqref="C217">
    <cfRule type="cellIs" dxfId="10" priority="3272" operator="equal">
      <formula>"1级"</formula>
    </cfRule>
    <cfRule type="cellIs" dxfId="2" priority="3271" operator="equal">
      <formula>"2级"</formula>
    </cfRule>
    <cfRule type="cellIs" dxfId="9" priority="3270" operator="equal">
      <formula>"3级"</formula>
    </cfRule>
  </conditionalFormatting>
  <conditionalFormatting sqref="E217">
    <cfRule type="cellIs" dxfId="7" priority="3269" operator="equal">
      <formula>"500/510/IVOC"</formula>
    </cfRule>
    <cfRule type="cellIs" dxfId="6" priority="3268" operator="equal">
      <formula>"500/510"</formula>
    </cfRule>
    <cfRule type="cellIs" dxfId="5" priority="3267" operator="equal">
      <formula>"IVOC"</formula>
    </cfRule>
    <cfRule type="cellIs" dxfId="2" priority="3266" operator="equal">
      <formula>"新增"</formula>
    </cfRule>
    <cfRule type="cellIs" dxfId="13" priority="3265" operator="equal">
      <formula>"优化"</formula>
    </cfRule>
    <cfRule type="cellIs" dxfId="12" priority="3264" operator="equal">
      <formula>"更新"</formula>
    </cfRule>
    <cfRule type="cellIs" dxfId="11" priority="3263" operator="equal">
      <formula>"废弃"</formula>
    </cfRule>
    <cfRule type="cellIs" dxfId="1" priority="3256" operator="equal">
      <formula>"新增"</formula>
    </cfRule>
  </conditionalFormatting>
  <conditionalFormatting sqref="L217">
    <cfRule type="cellIs" dxfId="1" priority="584" operator="equal">
      <formula>"通过"</formula>
    </cfRule>
    <cfRule type="cellIs" dxfId="0" priority="417" operator="equal">
      <formula>"不通过"</formula>
    </cfRule>
    <cfRule type="cellIs" dxfId="8" priority="250" operator="equal">
      <formula>"堵塞"</formula>
    </cfRule>
  </conditionalFormatting>
  <conditionalFormatting sqref="C218">
    <cfRule type="cellIs" dxfId="10" priority="3254" operator="equal">
      <formula>"1级"</formula>
    </cfRule>
    <cfRule type="cellIs" dxfId="2" priority="3250" operator="equal">
      <formula>"2级"</formula>
    </cfRule>
    <cfRule type="cellIs" dxfId="9" priority="3246" operator="equal">
      <formula>"3级"</formula>
    </cfRule>
  </conditionalFormatting>
  <conditionalFormatting sqref="E218">
    <cfRule type="cellIs" dxfId="7" priority="3242" operator="equal">
      <formula>"500/510/IVOC"</formula>
    </cfRule>
    <cfRule type="cellIs" dxfId="6" priority="3238" operator="equal">
      <formula>"500/510"</formula>
    </cfRule>
    <cfRule type="cellIs" dxfId="5" priority="3234" operator="equal">
      <formula>"IVOC"</formula>
    </cfRule>
    <cfRule type="cellIs" dxfId="2" priority="3230" operator="equal">
      <formula>"新增"</formula>
    </cfRule>
    <cfRule type="cellIs" dxfId="13" priority="3226" operator="equal">
      <formula>"优化"</formula>
    </cfRule>
    <cfRule type="cellIs" dxfId="12" priority="3222" operator="equal">
      <formula>"更新"</formula>
    </cfRule>
    <cfRule type="cellIs" dxfId="11" priority="3218" operator="equal">
      <formula>"废弃"</formula>
    </cfRule>
    <cfRule type="cellIs" dxfId="1" priority="3190" operator="equal">
      <formula>"新增"</formula>
    </cfRule>
  </conditionalFormatting>
  <conditionalFormatting sqref="L218">
    <cfRule type="cellIs" dxfId="1" priority="583" operator="equal">
      <formula>"通过"</formula>
    </cfRule>
    <cfRule type="cellIs" dxfId="0" priority="416" operator="equal">
      <formula>"不通过"</formula>
    </cfRule>
    <cfRule type="cellIs" dxfId="8" priority="249" operator="equal">
      <formula>"堵塞"</formula>
    </cfRule>
  </conditionalFormatting>
  <conditionalFormatting sqref="C219">
    <cfRule type="cellIs" dxfId="10" priority="3253" operator="equal">
      <formula>"1级"</formula>
    </cfRule>
    <cfRule type="cellIs" dxfId="2" priority="3249" operator="equal">
      <formula>"2级"</formula>
    </cfRule>
    <cfRule type="cellIs" dxfId="9" priority="3245" operator="equal">
      <formula>"3级"</formula>
    </cfRule>
  </conditionalFormatting>
  <conditionalFormatting sqref="E219">
    <cfRule type="cellIs" dxfId="7" priority="3241" operator="equal">
      <formula>"500/510/IVOC"</formula>
    </cfRule>
    <cfRule type="cellIs" dxfId="6" priority="3237" operator="equal">
      <formula>"500/510"</formula>
    </cfRule>
    <cfRule type="cellIs" dxfId="5" priority="3233" operator="equal">
      <formula>"IVOC"</formula>
    </cfRule>
    <cfRule type="cellIs" dxfId="2" priority="3229" operator="equal">
      <formula>"新增"</formula>
    </cfRule>
    <cfRule type="cellIs" dxfId="13" priority="3225" operator="equal">
      <formula>"优化"</formula>
    </cfRule>
    <cfRule type="cellIs" dxfId="12" priority="3221" operator="equal">
      <formula>"更新"</formula>
    </cfRule>
    <cfRule type="cellIs" dxfId="11" priority="3217" operator="equal">
      <formula>"废弃"</formula>
    </cfRule>
    <cfRule type="cellIs" dxfId="1" priority="3189" operator="equal">
      <formula>"新增"</formula>
    </cfRule>
  </conditionalFormatting>
  <conditionalFormatting sqref="L219">
    <cfRule type="cellIs" dxfId="1" priority="582" operator="equal">
      <formula>"通过"</formula>
    </cfRule>
    <cfRule type="cellIs" dxfId="0" priority="415" operator="equal">
      <formula>"不通过"</formula>
    </cfRule>
    <cfRule type="cellIs" dxfId="8" priority="248" operator="equal">
      <formula>"堵塞"</formula>
    </cfRule>
  </conditionalFormatting>
  <conditionalFormatting sqref="C220">
    <cfRule type="cellIs" dxfId="10" priority="3252" operator="equal">
      <formula>"1级"</formula>
    </cfRule>
    <cfRule type="cellIs" dxfId="2" priority="3248" operator="equal">
      <formula>"2级"</formula>
    </cfRule>
    <cfRule type="cellIs" dxfId="9" priority="3244" operator="equal">
      <formula>"3级"</formula>
    </cfRule>
  </conditionalFormatting>
  <conditionalFormatting sqref="E220">
    <cfRule type="cellIs" dxfId="7" priority="3240" operator="equal">
      <formula>"500/510/IVOC"</formula>
    </cfRule>
    <cfRule type="cellIs" dxfId="6" priority="3236" operator="equal">
      <formula>"500/510"</formula>
    </cfRule>
    <cfRule type="cellIs" dxfId="5" priority="3232" operator="equal">
      <formula>"IVOC"</formula>
    </cfRule>
    <cfRule type="cellIs" dxfId="2" priority="3228" operator="equal">
      <formula>"新增"</formula>
    </cfRule>
    <cfRule type="cellIs" dxfId="13" priority="3224" operator="equal">
      <formula>"优化"</formula>
    </cfRule>
    <cfRule type="cellIs" dxfId="12" priority="3220" operator="equal">
      <formula>"更新"</formula>
    </cfRule>
    <cfRule type="cellIs" dxfId="11" priority="3216" operator="equal">
      <formula>"废弃"</formula>
    </cfRule>
    <cfRule type="cellIs" dxfId="1" priority="3188" operator="equal">
      <formula>"新增"</formula>
    </cfRule>
  </conditionalFormatting>
  <conditionalFormatting sqref="L220">
    <cfRule type="cellIs" dxfId="1" priority="581" operator="equal">
      <formula>"通过"</formula>
    </cfRule>
    <cfRule type="cellIs" dxfId="0" priority="414" operator="equal">
      <formula>"不通过"</formula>
    </cfRule>
    <cfRule type="cellIs" dxfId="8" priority="247" operator="equal">
      <formula>"堵塞"</formula>
    </cfRule>
  </conditionalFormatting>
  <conditionalFormatting sqref="C221">
    <cfRule type="cellIs" dxfId="10" priority="3251" operator="equal">
      <formula>"1级"</formula>
    </cfRule>
    <cfRule type="cellIs" dxfId="2" priority="3247" operator="equal">
      <formula>"2级"</formula>
    </cfRule>
    <cfRule type="cellIs" dxfId="9" priority="3243" operator="equal">
      <formula>"3级"</formula>
    </cfRule>
  </conditionalFormatting>
  <conditionalFormatting sqref="E221">
    <cfRule type="cellIs" dxfId="7" priority="3239" operator="equal">
      <formula>"500/510/IVOC"</formula>
    </cfRule>
    <cfRule type="cellIs" dxfId="6" priority="3235" operator="equal">
      <formula>"500/510"</formula>
    </cfRule>
    <cfRule type="cellIs" dxfId="5" priority="3231" operator="equal">
      <formula>"IVOC"</formula>
    </cfRule>
    <cfRule type="cellIs" dxfId="2" priority="3227" operator="equal">
      <formula>"新增"</formula>
    </cfRule>
    <cfRule type="cellIs" dxfId="13" priority="3223" operator="equal">
      <formula>"优化"</formula>
    </cfRule>
    <cfRule type="cellIs" dxfId="12" priority="3219" operator="equal">
      <formula>"更新"</formula>
    </cfRule>
    <cfRule type="cellIs" dxfId="11" priority="3215" operator="equal">
      <formula>"废弃"</formula>
    </cfRule>
    <cfRule type="cellIs" dxfId="1" priority="3187" operator="equal">
      <formula>"新增"</formula>
    </cfRule>
  </conditionalFormatting>
  <conditionalFormatting sqref="L221">
    <cfRule type="cellIs" dxfId="1" priority="580" operator="equal">
      <formula>"通过"</formula>
    </cfRule>
    <cfRule type="cellIs" dxfId="0" priority="413" operator="equal">
      <formula>"不通过"</formula>
    </cfRule>
    <cfRule type="cellIs" dxfId="8" priority="246" operator="equal">
      <formula>"堵塞"</formula>
    </cfRule>
  </conditionalFormatting>
  <conditionalFormatting sqref="C222">
    <cfRule type="cellIs" dxfId="10" priority="3182" operator="equal">
      <formula>"1级"</formula>
    </cfRule>
    <cfRule type="cellIs" dxfId="2" priority="3181" operator="equal">
      <formula>"2级"</formula>
    </cfRule>
    <cfRule type="cellIs" dxfId="9" priority="3180" operator="equal">
      <formula>"3级"</formula>
    </cfRule>
  </conditionalFormatting>
  <conditionalFormatting sqref="E222">
    <cfRule type="cellIs" dxfId="7" priority="3179" operator="equal">
      <formula>"500/510/IVOC"</formula>
    </cfRule>
    <cfRule type="cellIs" dxfId="6" priority="3178" operator="equal">
      <formula>"500/510"</formula>
    </cfRule>
    <cfRule type="cellIs" dxfId="5" priority="3177" operator="equal">
      <formula>"IVOC"</formula>
    </cfRule>
    <cfRule type="cellIs" dxfId="2" priority="3176" operator="equal">
      <formula>"新增"</formula>
    </cfRule>
    <cfRule type="cellIs" dxfId="13" priority="3175" operator="equal">
      <formula>"优化"</formula>
    </cfRule>
    <cfRule type="cellIs" dxfId="12" priority="3174" operator="equal">
      <formula>"更新"</formula>
    </cfRule>
    <cfRule type="cellIs" dxfId="11" priority="3173" operator="equal">
      <formula>"废弃"</formula>
    </cfRule>
    <cfRule type="cellIs" dxfId="1" priority="3166" operator="equal">
      <formula>"新增"</formula>
    </cfRule>
  </conditionalFormatting>
  <conditionalFormatting sqref="L222">
    <cfRule type="cellIs" dxfId="1" priority="579" operator="equal">
      <formula>"通过"</formula>
    </cfRule>
    <cfRule type="cellIs" dxfId="0" priority="412" operator="equal">
      <formula>"不通过"</formula>
    </cfRule>
    <cfRule type="cellIs" dxfId="8" priority="245" operator="equal">
      <formula>"堵塞"</formula>
    </cfRule>
  </conditionalFormatting>
  <conditionalFormatting sqref="C223">
    <cfRule type="cellIs" dxfId="10" priority="3164" operator="equal">
      <formula>"1级"</formula>
    </cfRule>
    <cfRule type="cellIs" dxfId="2" priority="3160" operator="equal">
      <formula>"2级"</formula>
    </cfRule>
    <cfRule type="cellIs" dxfId="9" priority="3156" operator="equal">
      <formula>"3级"</formula>
    </cfRule>
  </conditionalFormatting>
  <conditionalFormatting sqref="E223">
    <cfRule type="cellIs" dxfId="7" priority="3152" operator="equal">
      <formula>"500/510/IVOC"</formula>
    </cfRule>
    <cfRule type="cellIs" dxfId="6" priority="3148" operator="equal">
      <formula>"500/510"</formula>
    </cfRule>
    <cfRule type="cellIs" dxfId="5" priority="3144" operator="equal">
      <formula>"IVOC"</formula>
    </cfRule>
    <cfRule type="cellIs" dxfId="2" priority="3140" operator="equal">
      <formula>"新增"</formula>
    </cfRule>
    <cfRule type="cellIs" dxfId="13" priority="3136" operator="equal">
      <formula>"优化"</formula>
    </cfRule>
    <cfRule type="cellIs" dxfId="12" priority="3132" operator="equal">
      <formula>"更新"</formula>
    </cfRule>
    <cfRule type="cellIs" dxfId="11" priority="3128" operator="equal">
      <formula>"废弃"</formula>
    </cfRule>
    <cfRule type="cellIs" dxfId="1" priority="3100" operator="equal">
      <formula>"新增"</formula>
    </cfRule>
  </conditionalFormatting>
  <conditionalFormatting sqref="L223">
    <cfRule type="cellIs" dxfId="1" priority="578" operator="equal">
      <formula>"通过"</formula>
    </cfRule>
    <cfRule type="cellIs" dxfId="0" priority="411" operator="equal">
      <formula>"不通过"</formula>
    </cfRule>
    <cfRule type="cellIs" dxfId="8" priority="244" operator="equal">
      <formula>"堵塞"</formula>
    </cfRule>
  </conditionalFormatting>
  <conditionalFormatting sqref="C224">
    <cfRule type="cellIs" dxfId="10" priority="3163" operator="equal">
      <formula>"1级"</formula>
    </cfRule>
    <cfRule type="cellIs" dxfId="2" priority="3159" operator="equal">
      <formula>"2级"</formula>
    </cfRule>
    <cfRule type="cellIs" dxfId="9" priority="3155" operator="equal">
      <formula>"3级"</formula>
    </cfRule>
  </conditionalFormatting>
  <conditionalFormatting sqref="E224">
    <cfRule type="cellIs" dxfId="7" priority="3151" operator="equal">
      <formula>"500/510/IVOC"</formula>
    </cfRule>
    <cfRule type="cellIs" dxfId="6" priority="3147" operator="equal">
      <formula>"500/510"</formula>
    </cfRule>
    <cfRule type="cellIs" dxfId="5" priority="3143" operator="equal">
      <formula>"IVOC"</formula>
    </cfRule>
    <cfRule type="cellIs" dxfId="2" priority="3139" operator="equal">
      <formula>"新增"</formula>
    </cfRule>
    <cfRule type="cellIs" dxfId="13" priority="3135" operator="equal">
      <formula>"优化"</formula>
    </cfRule>
    <cfRule type="cellIs" dxfId="12" priority="3131" operator="equal">
      <formula>"更新"</formula>
    </cfRule>
    <cfRule type="cellIs" dxfId="11" priority="3127" operator="equal">
      <formula>"废弃"</formula>
    </cfRule>
    <cfRule type="cellIs" dxfId="1" priority="3099" operator="equal">
      <formula>"新增"</formula>
    </cfRule>
  </conditionalFormatting>
  <conditionalFormatting sqref="L224">
    <cfRule type="cellIs" dxfId="1" priority="577" operator="equal">
      <formula>"通过"</formula>
    </cfRule>
    <cfRule type="cellIs" dxfId="0" priority="410" operator="equal">
      <formula>"不通过"</formula>
    </cfRule>
    <cfRule type="cellIs" dxfId="8" priority="243" operator="equal">
      <formula>"堵塞"</formula>
    </cfRule>
  </conditionalFormatting>
  <conditionalFormatting sqref="C225">
    <cfRule type="cellIs" dxfId="10" priority="3162" operator="equal">
      <formula>"1级"</formula>
    </cfRule>
    <cfRule type="cellIs" dxfId="2" priority="3158" operator="equal">
      <formula>"2级"</formula>
    </cfRule>
    <cfRule type="cellIs" dxfId="9" priority="3154" operator="equal">
      <formula>"3级"</formula>
    </cfRule>
  </conditionalFormatting>
  <conditionalFormatting sqref="E225">
    <cfRule type="cellIs" dxfId="7" priority="3150" operator="equal">
      <formula>"500/510/IVOC"</formula>
    </cfRule>
    <cfRule type="cellIs" dxfId="6" priority="3146" operator="equal">
      <formula>"500/510"</formula>
    </cfRule>
    <cfRule type="cellIs" dxfId="5" priority="3142" operator="equal">
      <formula>"IVOC"</formula>
    </cfRule>
    <cfRule type="cellIs" dxfId="2" priority="3138" operator="equal">
      <formula>"新增"</formula>
    </cfRule>
    <cfRule type="cellIs" dxfId="13" priority="3134" operator="equal">
      <formula>"优化"</formula>
    </cfRule>
    <cfRule type="cellIs" dxfId="12" priority="3130" operator="equal">
      <formula>"更新"</formula>
    </cfRule>
    <cfRule type="cellIs" dxfId="11" priority="3126" operator="equal">
      <formula>"废弃"</formula>
    </cfRule>
    <cfRule type="cellIs" dxfId="1" priority="3098" operator="equal">
      <formula>"新增"</formula>
    </cfRule>
  </conditionalFormatting>
  <conditionalFormatting sqref="L225">
    <cfRule type="cellIs" dxfId="1" priority="576" operator="equal">
      <formula>"通过"</formula>
    </cfRule>
    <cfRule type="cellIs" dxfId="0" priority="409" operator="equal">
      <formula>"不通过"</formula>
    </cfRule>
    <cfRule type="cellIs" dxfId="8" priority="242" operator="equal">
      <formula>"堵塞"</formula>
    </cfRule>
  </conditionalFormatting>
  <conditionalFormatting sqref="C226">
    <cfRule type="cellIs" dxfId="10" priority="3161" operator="equal">
      <formula>"1级"</formula>
    </cfRule>
    <cfRule type="cellIs" dxfId="2" priority="3157" operator="equal">
      <formula>"2级"</formula>
    </cfRule>
    <cfRule type="cellIs" dxfId="9" priority="3153" operator="equal">
      <formula>"3级"</formula>
    </cfRule>
  </conditionalFormatting>
  <conditionalFormatting sqref="E226">
    <cfRule type="cellIs" dxfId="7" priority="3149" operator="equal">
      <formula>"500/510/IVOC"</formula>
    </cfRule>
    <cfRule type="cellIs" dxfId="6" priority="3145" operator="equal">
      <formula>"500/510"</formula>
    </cfRule>
    <cfRule type="cellIs" dxfId="5" priority="3141" operator="equal">
      <formula>"IVOC"</formula>
    </cfRule>
    <cfRule type="cellIs" dxfId="2" priority="3137" operator="equal">
      <formula>"新增"</formula>
    </cfRule>
    <cfRule type="cellIs" dxfId="13" priority="3133" operator="equal">
      <formula>"优化"</formula>
    </cfRule>
    <cfRule type="cellIs" dxfId="12" priority="3129" operator="equal">
      <formula>"更新"</formula>
    </cfRule>
    <cfRule type="cellIs" dxfId="11" priority="3125" operator="equal">
      <formula>"废弃"</formula>
    </cfRule>
    <cfRule type="cellIs" dxfId="1" priority="3097" operator="equal">
      <formula>"新增"</formula>
    </cfRule>
  </conditionalFormatting>
  <conditionalFormatting sqref="L226">
    <cfRule type="cellIs" dxfId="1" priority="575" operator="equal">
      <formula>"通过"</formula>
    </cfRule>
    <cfRule type="cellIs" dxfId="0" priority="408" operator="equal">
      <formula>"不通过"</formula>
    </cfRule>
    <cfRule type="cellIs" dxfId="8" priority="241" operator="equal">
      <formula>"堵塞"</formula>
    </cfRule>
  </conditionalFormatting>
  <conditionalFormatting sqref="C227">
    <cfRule type="cellIs" dxfId="10" priority="3092" operator="equal">
      <formula>"1级"</formula>
    </cfRule>
    <cfRule type="cellIs" dxfId="2" priority="3091" operator="equal">
      <formula>"2级"</formula>
    </cfRule>
    <cfRule type="cellIs" dxfId="9" priority="3090" operator="equal">
      <formula>"3级"</formula>
    </cfRule>
  </conditionalFormatting>
  <conditionalFormatting sqref="E227">
    <cfRule type="cellIs" dxfId="7" priority="3089" operator="equal">
      <formula>"500/510/IVOC"</formula>
    </cfRule>
    <cfRule type="cellIs" dxfId="6" priority="3088" operator="equal">
      <formula>"500/510"</formula>
    </cfRule>
    <cfRule type="cellIs" dxfId="5" priority="3087" operator="equal">
      <formula>"IVOC"</formula>
    </cfRule>
    <cfRule type="cellIs" dxfId="2" priority="3086" operator="equal">
      <formula>"新增"</formula>
    </cfRule>
    <cfRule type="cellIs" dxfId="13" priority="3085" operator="equal">
      <formula>"优化"</formula>
    </cfRule>
    <cfRule type="cellIs" dxfId="12" priority="3084" operator="equal">
      <formula>"更新"</formula>
    </cfRule>
    <cfRule type="cellIs" dxfId="11" priority="3083" operator="equal">
      <formula>"废弃"</formula>
    </cfRule>
    <cfRule type="cellIs" dxfId="1" priority="3076" operator="equal">
      <formula>"新增"</formula>
    </cfRule>
  </conditionalFormatting>
  <conditionalFormatting sqref="L227">
    <cfRule type="cellIs" dxfId="1" priority="574" operator="equal">
      <formula>"通过"</formula>
    </cfRule>
    <cfRule type="cellIs" dxfId="0" priority="407" operator="equal">
      <formula>"不通过"</formula>
    </cfRule>
    <cfRule type="cellIs" dxfId="8" priority="240" operator="equal">
      <formula>"堵塞"</formula>
    </cfRule>
  </conditionalFormatting>
  <conditionalFormatting sqref="C228">
    <cfRule type="cellIs" dxfId="10" priority="3074" operator="equal">
      <formula>"1级"</formula>
    </cfRule>
    <cfRule type="cellIs" dxfId="2" priority="3070" operator="equal">
      <formula>"2级"</formula>
    </cfRule>
    <cfRule type="cellIs" dxfId="9" priority="3066" operator="equal">
      <formula>"3级"</formula>
    </cfRule>
  </conditionalFormatting>
  <conditionalFormatting sqref="E228">
    <cfRule type="cellIs" dxfId="7" priority="3062" operator="equal">
      <formula>"500/510/IVOC"</formula>
    </cfRule>
    <cfRule type="cellIs" dxfId="6" priority="3058" operator="equal">
      <formula>"500/510"</formula>
    </cfRule>
    <cfRule type="cellIs" dxfId="5" priority="3054" operator="equal">
      <formula>"IVOC"</formula>
    </cfRule>
    <cfRule type="cellIs" dxfId="2" priority="3050" operator="equal">
      <formula>"新增"</formula>
    </cfRule>
    <cfRule type="cellIs" dxfId="13" priority="3046" operator="equal">
      <formula>"优化"</formula>
    </cfRule>
    <cfRule type="cellIs" dxfId="12" priority="3042" operator="equal">
      <formula>"更新"</formula>
    </cfRule>
    <cfRule type="cellIs" dxfId="11" priority="3038" operator="equal">
      <formula>"废弃"</formula>
    </cfRule>
    <cfRule type="cellIs" dxfId="1" priority="3010" operator="equal">
      <formula>"新增"</formula>
    </cfRule>
  </conditionalFormatting>
  <conditionalFormatting sqref="L228">
    <cfRule type="cellIs" dxfId="1" priority="573" operator="equal">
      <formula>"通过"</formula>
    </cfRule>
    <cfRule type="cellIs" dxfId="0" priority="406" operator="equal">
      <formula>"不通过"</formula>
    </cfRule>
    <cfRule type="cellIs" dxfId="8" priority="239" operator="equal">
      <formula>"堵塞"</formula>
    </cfRule>
  </conditionalFormatting>
  <conditionalFormatting sqref="C229">
    <cfRule type="cellIs" dxfId="10" priority="3073" operator="equal">
      <formula>"1级"</formula>
    </cfRule>
    <cfRule type="cellIs" dxfId="2" priority="3069" operator="equal">
      <formula>"2级"</formula>
    </cfRule>
    <cfRule type="cellIs" dxfId="9" priority="3065" operator="equal">
      <formula>"3级"</formula>
    </cfRule>
  </conditionalFormatting>
  <conditionalFormatting sqref="E229">
    <cfRule type="cellIs" dxfId="7" priority="3061" operator="equal">
      <formula>"500/510/IVOC"</formula>
    </cfRule>
    <cfRule type="cellIs" dxfId="6" priority="3057" operator="equal">
      <formula>"500/510"</formula>
    </cfRule>
    <cfRule type="cellIs" dxfId="5" priority="3053" operator="equal">
      <formula>"IVOC"</formula>
    </cfRule>
    <cfRule type="cellIs" dxfId="2" priority="3049" operator="equal">
      <formula>"新增"</formula>
    </cfRule>
    <cfRule type="cellIs" dxfId="13" priority="3045" operator="equal">
      <formula>"优化"</formula>
    </cfRule>
    <cfRule type="cellIs" dxfId="12" priority="3041" operator="equal">
      <formula>"更新"</formula>
    </cfRule>
    <cfRule type="cellIs" dxfId="11" priority="3037" operator="equal">
      <formula>"废弃"</formula>
    </cfRule>
    <cfRule type="cellIs" dxfId="1" priority="3009" operator="equal">
      <formula>"新增"</formula>
    </cfRule>
  </conditionalFormatting>
  <conditionalFormatting sqref="L229">
    <cfRule type="cellIs" dxfId="1" priority="572" operator="equal">
      <formula>"通过"</formula>
    </cfRule>
    <cfRule type="cellIs" dxfId="0" priority="405" operator="equal">
      <formula>"不通过"</formula>
    </cfRule>
    <cfRule type="cellIs" dxfId="8" priority="238" operator="equal">
      <formula>"堵塞"</formula>
    </cfRule>
  </conditionalFormatting>
  <conditionalFormatting sqref="C230">
    <cfRule type="cellIs" dxfId="10" priority="3072" operator="equal">
      <formula>"1级"</formula>
    </cfRule>
    <cfRule type="cellIs" dxfId="2" priority="3068" operator="equal">
      <formula>"2级"</formula>
    </cfRule>
    <cfRule type="cellIs" dxfId="9" priority="3064" operator="equal">
      <formula>"3级"</formula>
    </cfRule>
  </conditionalFormatting>
  <conditionalFormatting sqref="E230">
    <cfRule type="cellIs" dxfId="7" priority="3060" operator="equal">
      <formula>"500/510/IVOC"</formula>
    </cfRule>
    <cfRule type="cellIs" dxfId="6" priority="3056" operator="equal">
      <formula>"500/510"</formula>
    </cfRule>
    <cfRule type="cellIs" dxfId="5" priority="3052" operator="equal">
      <formula>"IVOC"</formula>
    </cfRule>
    <cfRule type="cellIs" dxfId="2" priority="3048" operator="equal">
      <formula>"新增"</formula>
    </cfRule>
    <cfRule type="cellIs" dxfId="13" priority="3044" operator="equal">
      <formula>"优化"</formula>
    </cfRule>
    <cfRule type="cellIs" dxfId="12" priority="3040" operator="equal">
      <formula>"更新"</formula>
    </cfRule>
    <cfRule type="cellIs" dxfId="11" priority="3036" operator="equal">
      <formula>"废弃"</formula>
    </cfRule>
    <cfRule type="cellIs" dxfId="1" priority="3008" operator="equal">
      <formula>"新增"</formula>
    </cfRule>
  </conditionalFormatting>
  <conditionalFormatting sqref="L230">
    <cfRule type="cellIs" dxfId="1" priority="571" operator="equal">
      <formula>"通过"</formula>
    </cfRule>
    <cfRule type="cellIs" dxfId="0" priority="404" operator="equal">
      <formula>"不通过"</formula>
    </cfRule>
    <cfRule type="cellIs" dxfId="8" priority="237" operator="equal">
      <formula>"堵塞"</formula>
    </cfRule>
  </conditionalFormatting>
  <conditionalFormatting sqref="C231">
    <cfRule type="cellIs" dxfId="10" priority="3071" operator="equal">
      <formula>"1级"</formula>
    </cfRule>
    <cfRule type="cellIs" dxfId="2" priority="3067" operator="equal">
      <formula>"2级"</formula>
    </cfRule>
    <cfRule type="cellIs" dxfId="9" priority="3063" operator="equal">
      <formula>"3级"</formula>
    </cfRule>
  </conditionalFormatting>
  <conditionalFormatting sqref="E231">
    <cfRule type="cellIs" dxfId="7" priority="3059" operator="equal">
      <formula>"500/510/IVOC"</formula>
    </cfRule>
    <cfRule type="cellIs" dxfId="6" priority="3055" operator="equal">
      <formula>"500/510"</formula>
    </cfRule>
    <cfRule type="cellIs" dxfId="5" priority="3051" operator="equal">
      <formula>"IVOC"</formula>
    </cfRule>
    <cfRule type="cellIs" dxfId="2" priority="3047" operator="equal">
      <formula>"新增"</formula>
    </cfRule>
    <cfRule type="cellIs" dxfId="13" priority="3043" operator="equal">
      <formula>"优化"</formula>
    </cfRule>
    <cfRule type="cellIs" dxfId="12" priority="3039" operator="equal">
      <formula>"更新"</formula>
    </cfRule>
    <cfRule type="cellIs" dxfId="11" priority="3035" operator="equal">
      <formula>"废弃"</formula>
    </cfRule>
    <cfRule type="cellIs" dxfId="1" priority="3007" operator="equal">
      <formula>"新增"</formula>
    </cfRule>
  </conditionalFormatting>
  <conditionalFormatting sqref="L231">
    <cfRule type="cellIs" dxfId="1" priority="570" operator="equal">
      <formula>"通过"</formula>
    </cfRule>
    <cfRule type="cellIs" dxfId="0" priority="403" operator="equal">
      <formula>"不通过"</formula>
    </cfRule>
    <cfRule type="cellIs" dxfId="8" priority="236" operator="equal">
      <formula>"堵塞"</formula>
    </cfRule>
  </conditionalFormatting>
  <conditionalFormatting sqref="C232">
    <cfRule type="cellIs" dxfId="10" priority="3002" operator="equal">
      <formula>"1级"</formula>
    </cfRule>
    <cfRule type="cellIs" dxfId="2" priority="3001" operator="equal">
      <formula>"2级"</formula>
    </cfRule>
    <cfRule type="cellIs" dxfId="9" priority="3000" operator="equal">
      <formula>"3级"</formula>
    </cfRule>
  </conditionalFormatting>
  <conditionalFormatting sqref="E232">
    <cfRule type="cellIs" dxfId="7" priority="2999" operator="equal">
      <formula>"500/510/IVOC"</formula>
    </cfRule>
    <cfRule type="cellIs" dxfId="6" priority="2998" operator="equal">
      <formula>"500/510"</formula>
    </cfRule>
    <cfRule type="cellIs" dxfId="5" priority="2997" operator="equal">
      <formula>"IVOC"</formula>
    </cfRule>
    <cfRule type="cellIs" dxfId="2" priority="2996" operator="equal">
      <formula>"新增"</formula>
    </cfRule>
    <cfRule type="cellIs" dxfId="13" priority="2995" operator="equal">
      <formula>"优化"</formula>
    </cfRule>
    <cfRule type="cellIs" dxfId="12" priority="2994" operator="equal">
      <formula>"更新"</formula>
    </cfRule>
    <cfRule type="cellIs" dxfId="11" priority="2993" operator="equal">
      <formula>"废弃"</formula>
    </cfRule>
    <cfRule type="cellIs" dxfId="1" priority="2986" operator="equal">
      <formula>"新增"</formula>
    </cfRule>
  </conditionalFormatting>
  <conditionalFormatting sqref="L232">
    <cfRule type="cellIs" dxfId="1" priority="569" operator="equal">
      <formula>"通过"</formula>
    </cfRule>
    <cfRule type="cellIs" dxfId="0" priority="402" operator="equal">
      <formula>"不通过"</formula>
    </cfRule>
    <cfRule type="cellIs" dxfId="8" priority="235" operator="equal">
      <formula>"堵塞"</formula>
    </cfRule>
  </conditionalFormatting>
  <conditionalFormatting sqref="C233">
    <cfRule type="cellIs" dxfId="10" priority="2984" operator="equal">
      <formula>"1级"</formula>
    </cfRule>
    <cfRule type="cellIs" dxfId="2" priority="2980" operator="equal">
      <formula>"2级"</formula>
    </cfRule>
    <cfRule type="cellIs" dxfId="9" priority="2976" operator="equal">
      <formula>"3级"</formula>
    </cfRule>
  </conditionalFormatting>
  <conditionalFormatting sqref="E233">
    <cfRule type="cellIs" dxfId="7" priority="2972" operator="equal">
      <formula>"500/510/IVOC"</formula>
    </cfRule>
    <cfRule type="cellIs" dxfId="6" priority="2968" operator="equal">
      <formula>"500/510"</formula>
    </cfRule>
    <cfRule type="cellIs" dxfId="5" priority="2964" operator="equal">
      <formula>"IVOC"</formula>
    </cfRule>
    <cfRule type="cellIs" dxfId="2" priority="2960" operator="equal">
      <formula>"新增"</formula>
    </cfRule>
    <cfRule type="cellIs" dxfId="13" priority="2956" operator="equal">
      <formula>"优化"</formula>
    </cfRule>
    <cfRule type="cellIs" dxfId="12" priority="2952" operator="equal">
      <formula>"更新"</formula>
    </cfRule>
    <cfRule type="cellIs" dxfId="11" priority="2948" operator="equal">
      <formula>"废弃"</formula>
    </cfRule>
    <cfRule type="cellIs" dxfId="1" priority="2920" operator="equal">
      <formula>"新增"</formula>
    </cfRule>
  </conditionalFormatting>
  <conditionalFormatting sqref="L233">
    <cfRule type="cellIs" dxfId="1" priority="568" operator="equal">
      <formula>"通过"</formula>
    </cfRule>
    <cfRule type="cellIs" dxfId="0" priority="401" operator="equal">
      <formula>"不通过"</formula>
    </cfRule>
    <cfRule type="cellIs" dxfId="8" priority="234" operator="equal">
      <formula>"堵塞"</formula>
    </cfRule>
  </conditionalFormatting>
  <conditionalFormatting sqref="C234">
    <cfRule type="cellIs" dxfId="10" priority="2983" operator="equal">
      <formula>"1级"</formula>
    </cfRule>
    <cfRule type="cellIs" dxfId="2" priority="2979" operator="equal">
      <formula>"2级"</formula>
    </cfRule>
    <cfRule type="cellIs" dxfId="9" priority="2975" operator="equal">
      <formula>"3级"</formula>
    </cfRule>
  </conditionalFormatting>
  <conditionalFormatting sqref="E234">
    <cfRule type="cellIs" dxfId="7" priority="2971" operator="equal">
      <formula>"500/510/IVOC"</formula>
    </cfRule>
    <cfRule type="cellIs" dxfId="6" priority="2967" operator="equal">
      <formula>"500/510"</formula>
    </cfRule>
    <cfRule type="cellIs" dxfId="5" priority="2963" operator="equal">
      <formula>"IVOC"</formula>
    </cfRule>
    <cfRule type="cellIs" dxfId="2" priority="2959" operator="equal">
      <formula>"新增"</formula>
    </cfRule>
    <cfRule type="cellIs" dxfId="13" priority="2955" operator="equal">
      <formula>"优化"</formula>
    </cfRule>
    <cfRule type="cellIs" dxfId="12" priority="2951" operator="equal">
      <formula>"更新"</formula>
    </cfRule>
    <cfRule type="cellIs" dxfId="11" priority="2947" operator="equal">
      <formula>"废弃"</formula>
    </cfRule>
    <cfRule type="cellIs" dxfId="1" priority="2919" operator="equal">
      <formula>"新增"</formula>
    </cfRule>
  </conditionalFormatting>
  <conditionalFormatting sqref="L234">
    <cfRule type="cellIs" dxfId="1" priority="567" operator="equal">
      <formula>"通过"</formula>
    </cfRule>
    <cfRule type="cellIs" dxfId="0" priority="400" operator="equal">
      <formula>"不通过"</formula>
    </cfRule>
    <cfRule type="cellIs" dxfId="8" priority="233" operator="equal">
      <formula>"堵塞"</formula>
    </cfRule>
  </conditionalFormatting>
  <conditionalFormatting sqref="C235">
    <cfRule type="cellIs" dxfId="10" priority="2982" operator="equal">
      <formula>"1级"</formula>
    </cfRule>
    <cfRule type="cellIs" dxfId="2" priority="2978" operator="equal">
      <formula>"2级"</formula>
    </cfRule>
    <cfRule type="cellIs" dxfId="9" priority="2974" operator="equal">
      <formula>"3级"</formula>
    </cfRule>
  </conditionalFormatting>
  <conditionalFormatting sqref="E235">
    <cfRule type="cellIs" dxfId="7" priority="2970" operator="equal">
      <formula>"500/510/IVOC"</formula>
    </cfRule>
    <cfRule type="cellIs" dxfId="6" priority="2966" operator="equal">
      <formula>"500/510"</formula>
    </cfRule>
    <cfRule type="cellIs" dxfId="5" priority="2962" operator="equal">
      <formula>"IVOC"</formula>
    </cfRule>
    <cfRule type="cellIs" dxfId="2" priority="2958" operator="equal">
      <formula>"新增"</formula>
    </cfRule>
    <cfRule type="cellIs" dxfId="13" priority="2954" operator="equal">
      <formula>"优化"</formula>
    </cfRule>
    <cfRule type="cellIs" dxfId="12" priority="2950" operator="equal">
      <formula>"更新"</formula>
    </cfRule>
    <cfRule type="cellIs" dxfId="11" priority="2946" operator="equal">
      <formula>"废弃"</formula>
    </cfRule>
    <cfRule type="cellIs" dxfId="1" priority="2918" operator="equal">
      <formula>"新增"</formula>
    </cfRule>
  </conditionalFormatting>
  <conditionalFormatting sqref="L235">
    <cfRule type="cellIs" dxfId="1" priority="566" operator="equal">
      <formula>"通过"</formula>
    </cfRule>
    <cfRule type="cellIs" dxfId="0" priority="399" operator="equal">
      <formula>"不通过"</formula>
    </cfRule>
    <cfRule type="cellIs" dxfId="8" priority="232" operator="equal">
      <formula>"堵塞"</formula>
    </cfRule>
  </conditionalFormatting>
  <conditionalFormatting sqref="C236">
    <cfRule type="cellIs" dxfId="10" priority="2981" operator="equal">
      <formula>"1级"</formula>
    </cfRule>
    <cfRule type="cellIs" dxfId="2" priority="2977" operator="equal">
      <formula>"2级"</formula>
    </cfRule>
    <cfRule type="cellIs" dxfId="9" priority="2973" operator="equal">
      <formula>"3级"</formula>
    </cfRule>
  </conditionalFormatting>
  <conditionalFormatting sqref="E236">
    <cfRule type="cellIs" dxfId="7" priority="2969" operator="equal">
      <formula>"500/510/IVOC"</formula>
    </cfRule>
    <cfRule type="cellIs" dxfId="6" priority="2965" operator="equal">
      <formula>"500/510"</formula>
    </cfRule>
    <cfRule type="cellIs" dxfId="5" priority="2961" operator="equal">
      <formula>"IVOC"</formula>
    </cfRule>
    <cfRule type="cellIs" dxfId="2" priority="2957" operator="equal">
      <formula>"新增"</formula>
    </cfRule>
    <cfRule type="cellIs" dxfId="13" priority="2953" operator="equal">
      <formula>"优化"</formula>
    </cfRule>
    <cfRule type="cellIs" dxfId="12" priority="2949" operator="equal">
      <formula>"更新"</formula>
    </cfRule>
    <cfRule type="cellIs" dxfId="11" priority="2945" operator="equal">
      <formula>"废弃"</formula>
    </cfRule>
    <cfRule type="cellIs" dxfId="1" priority="2917" operator="equal">
      <formula>"新增"</formula>
    </cfRule>
  </conditionalFormatting>
  <conditionalFormatting sqref="L236">
    <cfRule type="cellIs" dxfId="1" priority="565" operator="equal">
      <formula>"通过"</formula>
    </cfRule>
    <cfRule type="cellIs" dxfId="0" priority="398" operator="equal">
      <formula>"不通过"</formula>
    </cfRule>
    <cfRule type="cellIs" dxfId="8" priority="231" operator="equal">
      <formula>"堵塞"</formula>
    </cfRule>
  </conditionalFormatting>
  <conditionalFormatting sqref="C237">
    <cfRule type="cellIs" dxfId="10" priority="2912" operator="equal">
      <formula>"1级"</formula>
    </cfRule>
    <cfRule type="cellIs" dxfId="2" priority="2911" operator="equal">
      <formula>"2级"</formula>
    </cfRule>
    <cfRule type="cellIs" dxfId="9" priority="2910" operator="equal">
      <formula>"3级"</formula>
    </cfRule>
  </conditionalFormatting>
  <conditionalFormatting sqref="E237">
    <cfRule type="cellIs" dxfId="7" priority="2909" operator="equal">
      <formula>"500/510/IVOC"</formula>
    </cfRule>
    <cfRule type="cellIs" dxfId="6" priority="2908" operator="equal">
      <formula>"500/510"</formula>
    </cfRule>
    <cfRule type="cellIs" dxfId="5" priority="2907" operator="equal">
      <formula>"IVOC"</formula>
    </cfRule>
    <cfRule type="cellIs" dxfId="2" priority="2906" operator="equal">
      <formula>"新增"</formula>
    </cfRule>
    <cfRule type="cellIs" dxfId="13" priority="2905" operator="equal">
      <formula>"优化"</formula>
    </cfRule>
    <cfRule type="cellIs" dxfId="12" priority="2904" operator="equal">
      <formula>"更新"</formula>
    </cfRule>
    <cfRule type="cellIs" dxfId="11" priority="2903" operator="equal">
      <formula>"废弃"</formula>
    </cfRule>
    <cfRule type="cellIs" dxfId="1" priority="2896" operator="equal">
      <formula>"新增"</formula>
    </cfRule>
  </conditionalFormatting>
  <conditionalFormatting sqref="L237">
    <cfRule type="cellIs" dxfId="1" priority="564" operator="equal">
      <formula>"通过"</formula>
    </cfRule>
    <cfRule type="cellIs" dxfId="0" priority="397" operator="equal">
      <formula>"不通过"</formula>
    </cfRule>
    <cfRule type="cellIs" dxfId="8" priority="230" operator="equal">
      <formula>"堵塞"</formula>
    </cfRule>
  </conditionalFormatting>
  <conditionalFormatting sqref="C238">
    <cfRule type="cellIs" dxfId="10" priority="2894" operator="equal">
      <formula>"1级"</formula>
    </cfRule>
    <cfRule type="cellIs" dxfId="2" priority="2890" operator="equal">
      <formula>"2级"</formula>
    </cfRule>
    <cfRule type="cellIs" dxfId="9" priority="2886" operator="equal">
      <formula>"3级"</formula>
    </cfRule>
  </conditionalFormatting>
  <conditionalFormatting sqref="E238">
    <cfRule type="cellIs" dxfId="7" priority="2882" operator="equal">
      <formula>"500/510/IVOC"</formula>
    </cfRule>
    <cfRule type="cellIs" dxfId="6" priority="2878" operator="equal">
      <formula>"500/510"</formula>
    </cfRule>
    <cfRule type="cellIs" dxfId="5" priority="2874" operator="equal">
      <formula>"IVOC"</formula>
    </cfRule>
    <cfRule type="cellIs" dxfId="2" priority="2870" operator="equal">
      <formula>"新增"</formula>
    </cfRule>
    <cfRule type="cellIs" dxfId="13" priority="2866" operator="equal">
      <formula>"优化"</formula>
    </cfRule>
    <cfRule type="cellIs" dxfId="12" priority="2862" operator="equal">
      <formula>"更新"</formula>
    </cfRule>
    <cfRule type="cellIs" dxfId="11" priority="2858" operator="equal">
      <formula>"废弃"</formula>
    </cfRule>
    <cfRule type="cellIs" dxfId="1" priority="2830" operator="equal">
      <formula>"新增"</formula>
    </cfRule>
  </conditionalFormatting>
  <conditionalFormatting sqref="L238">
    <cfRule type="cellIs" dxfId="1" priority="563" operator="equal">
      <formula>"通过"</formula>
    </cfRule>
    <cfRule type="cellIs" dxfId="0" priority="396" operator="equal">
      <formula>"不通过"</formula>
    </cfRule>
    <cfRule type="cellIs" dxfId="8" priority="229" operator="equal">
      <formula>"堵塞"</formula>
    </cfRule>
  </conditionalFormatting>
  <conditionalFormatting sqref="C239">
    <cfRule type="cellIs" dxfId="10" priority="2893" operator="equal">
      <formula>"1级"</formula>
    </cfRule>
    <cfRule type="cellIs" dxfId="2" priority="2889" operator="equal">
      <formula>"2级"</formula>
    </cfRule>
    <cfRule type="cellIs" dxfId="9" priority="2885" operator="equal">
      <formula>"3级"</formula>
    </cfRule>
  </conditionalFormatting>
  <conditionalFormatting sqref="E239">
    <cfRule type="cellIs" dxfId="7" priority="2881" operator="equal">
      <formula>"500/510/IVOC"</formula>
    </cfRule>
    <cfRule type="cellIs" dxfId="6" priority="2877" operator="equal">
      <formula>"500/510"</formula>
    </cfRule>
    <cfRule type="cellIs" dxfId="5" priority="2873" operator="equal">
      <formula>"IVOC"</formula>
    </cfRule>
    <cfRule type="cellIs" dxfId="2" priority="2869" operator="equal">
      <formula>"新增"</formula>
    </cfRule>
    <cfRule type="cellIs" dxfId="13" priority="2865" operator="equal">
      <formula>"优化"</formula>
    </cfRule>
    <cfRule type="cellIs" dxfId="12" priority="2861" operator="equal">
      <formula>"更新"</formula>
    </cfRule>
    <cfRule type="cellIs" dxfId="11" priority="2857" operator="equal">
      <formula>"废弃"</formula>
    </cfRule>
    <cfRule type="cellIs" dxfId="1" priority="2829" operator="equal">
      <formula>"新增"</formula>
    </cfRule>
  </conditionalFormatting>
  <conditionalFormatting sqref="L239">
    <cfRule type="cellIs" dxfId="1" priority="562" operator="equal">
      <formula>"通过"</formula>
    </cfRule>
    <cfRule type="cellIs" dxfId="0" priority="395" operator="equal">
      <formula>"不通过"</formula>
    </cfRule>
    <cfRule type="cellIs" dxfId="8" priority="228" operator="equal">
      <formula>"堵塞"</formula>
    </cfRule>
  </conditionalFormatting>
  <conditionalFormatting sqref="C240">
    <cfRule type="cellIs" dxfId="10" priority="2892" operator="equal">
      <formula>"1级"</formula>
    </cfRule>
    <cfRule type="cellIs" dxfId="2" priority="2888" operator="equal">
      <formula>"2级"</formula>
    </cfRule>
    <cfRule type="cellIs" dxfId="9" priority="2884" operator="equal">
      <formula>"3级"</formula>
    </cfRule>
  </conditionalFormatting>
  <conditionalFormatting sqref="E240">
    <cfRule type="cellIs" dxfId="7" priority="2880" operator="equal">
      <formula>"500/510/IVOC"</formula>
    </cfRule>
    <cfRule type="cellIs" dxfId="6" priority="2876" operator="equal">
      <formula>"500/510"</formula>
    </cfRule>
    <cfRule type="cellIs" dxfId="5" priority="2872" operator="equal">
      <formula>"IVOC"</formula>
    </cfRule>
    <cfRule type="cellIs" dxfId="2" priority="2868" operator="equal">
      <formula>"新增"</formula>
    </cfRule>
    <cfRule type="cellIs" dxfId="13" priority="2864" operator="equal">
      <formula>"优化"</formula>
    </cfRule>
    <cfRule type="cellIs" dxfId="12" priority="2860" operator="equal">
      <formula>"更新"</formula>
    </cfRule>
    <cfRule type="cellIs" dxfId="11" priority="2856" operator="equal">
      <formula>"废弃"</formula>
    </cfRule>
    <cfRule type="cellIs" dxfId="1" priority="2828" operator="equal">
      <formula>"新增"</formula>
    </cfRule>
  </conditionalFormatting>
  <conditionalFormatting sqref="L240">
    <cfRule type="cellIs" dxfId="1" priority="561" operator="equal">
      <formula>"通过"</formula>
    </cfRule>
    <cfRule type="cellIs" dxfId="0" priority="394" operator="equal">
      <formula>"不通过"</formula>
    </cfRule>
    <cfRule type="cellIs" dxfId="8" priority="227" operator="equal">
      <formula>"堵塞"</formula>
    </cfRule>
  </conditionalFormatting>
  <conditionalFormatting sqref="C241">
    <cfRule type="cellIs" dxfId="10" priority="2891" operator="equal">
      <formula>"1级"</formula>
    </cfRule>
    <cfRule type="cellIs" dxfId="2" priority="2887" operator="equal">
      <formula>"2级"</formula>
    </cfRule>
    <cfRule type="cellIs" dxfId="9" priority="2883" operator="equal">
      <formula>"3级"</formula>
    </cfRule>
  </conditionalFormatting>
  <conditionalFormatting sqref="E241">
    <cfRule type="cellIs" dxfId="7" priority="2879" operator="equal">
      <formula>"500/510/IVOC"</formula>
    </cfRule>
    <cfRule type="cellIs" dxfId="6" priority="2875" operator="equal">
      <formula>"500/510"</formula>
    </cfRule>
    <cfRule type="cellIs" dxfId="5" priority="2871" operator="equal">
      <formula>"IVOC"</formula>
    </cfRule>
    <cfRule type="cellIs" dxfId="2" priority="2867" operator="equal">
      <formula>"新增"</formula>
    </cfRule>
    <cfRule type="cellIs" dxfId="13" priority="2863" operator="equal">
      <formula>"优化"</formula>
    </cfRule>
    <cfRule type="cellIs" dxfId="12" priority="2859" operator="equal">
      <formula>"更新"</formula>
    </cfRule>
    <cfRule type="cellIs" dxfId="11" priority="2855" operator="equal">
      <formula>"废弃"</formula>
    </cfRule>
    <cfRule type="cellIs" dxfId="1" priority="2827" operator="equal">
      <formula>"新增"</formula>
    </cfRule>
  </conditionalFormatting>
  <conditionalFormatting sqref="L241">
    <cfRule type="cellIs" dxfId="1" priority="560" operator="equal">
      <formula>"通过"</formula>
    </cfRule>
    <cfRule type="cellIs" dxfId="0" priority="393" operator="equal">
      <formula>"不通过"</formula>
    </cfRule>
    <cfRule type="cellIs" dxfId="8" priority="226" operator="equal">
      <formula>"堵塞"</formula>
    </cfRule>
  </conditionalFormatting>
  <conditionalFormatting sqref="C242">
    <cfRule type="cellIs" dxfId="10" priority="2822" operator="equal">
      <formula>"1级"</formula>
    </cfRule>
    <cfRule type="cellIs" dxfId="2" priority="2821" operator="equal">
      <formula>"2级"</formula>
    </cfRule>
    <cfRule type="cellIs" dxfId="9" priority="2820" operator="equal">
      <formula>"3级"</formula>
    </cfRule>
  </conditionalFormatting>
  <conditionalFormatting sqref="E242">
    <cfRule type="cellIs" dxfId="7" priority="2819" operator="equal">
      <formula>"500/510/IVOC"</formula>
    </cfRule>
    <cfRule type="cellIs" dxfId="6" priority="2818" operator="equal">
      <formula>"500/510"</formula>
    </cfRule>
    <cfRule type="cellIs" dxfId="5" priority="2817" operator="equal">
      <formula>"IVOC"</formula>
    </cfRule>
    <cfRule type="cellIs" dxfId="2" priority="2816" operator="equal">
      <formula>"新增"</formula>
    </cfRule>
    <cfRule type="cellIs" dxfId="13" priority="2815" operator="equal">
      <formula>"优化"</formula>
    </cfRule>
    <cfRule type="cellIs" dxfId="12" priority="2814" operator="equal">
      <formula>"更新"</formula>
    </cfRule>
    <cfRule type="cellIs" dxfId="11" priority="2813" operator="equal">
      <formula>"废弃"</formula>
    </cfRule>
    <cfRule type="cellIs" dxfId="1" priority="2806" operator="equal">
      <formula>"新增"</formula>
    </cfRule>
  </conditionalFormatting>
  <conditionalFormatting sqref="L242">
    <cfRule type="cellIs" dxfId="1" priority="559" operator="equal">
      <formula>"通过"</formula>
    </cfRule>
    <cfRule type="cellIs" dxfId="0" priority="392" operator="equal">
      <formula>"不通过"</formula>
    </cfRule>
    <cfRule type="cellIs" dxfId="8" priority="225" operator="equal">
      <formula>"堵塞"</formula>
    </cfRule>
  </conditionalFormatting>
  <conditionalFormatting sqref="C243">
    <cfRule type="cellIs" dxfId="10" priority="2804" operator="equal">
      <formula>"1级"</formula>
    </cfRule>
    <cfRule type="cellIs" dxfId="2" priority="2800" operator="equal">
      <formula>"2级"</formula>
    </cfRule>
    <cfRule type="cellIs" dxfId="9" priority="2796" operator="equal">
      <formula>"3级"</formula>
    </cfRule>
  </conditionalFormatting>
  <conditionalFormatting sqref="E243">
    <cfRule type="cellIs" dxfId="7" priority="2792" operator="equal">
      <formula>"500/510/IVOC"</formula>
    </cfRule>
    <cfRule type="cellIs" dxfId="6" priority="2788" operator="equal">
      <formula>"500/510"</formula>
    </cfRule>
    <cfRule type="cellIs" dxfId="5" priority="2784" operator="equal">
      <formula>"IVOC"</formula>
    </cfRule>
    <cfRule type="cellIs" dxfId="2" priority="2780" operator="equal">
      <formula>"新增"</formula>
    </cfRule>
    <cfRule type="cellIs" dxfId="13" priority="2776" operator="equal">
      <formula>"优化"</formula>
    </cfRule>
    <cfRule type="cellIs" dxfId="12" priority="2772" operator="equal">
      <formula>"更新"</formula>
    </cfRule>
    <cfRule type="cellIs" dxfId="11" priority="2768" operator="equal">
      <formula>"废弃"</formula>
    </cfRule>
    <cfRule type="cellIs" dxfId="1" priority="2740" operator="equal">
      <formula>"新增"</formula>
    </cfRule>
  </conditionalFormatting>
  <conditionalFormatting sqref="L243">
    <cfRule type="cellIs" dxfId="1" priority="558" operator="equal">
      <formula>"通过"</formula>
    </cfRule>
    <cfRule type="cellIs" dxfId="0" priority="391" operator="equal">
      <formula>"不通过"</formula>
    </cfRule>
    <cfRule type="cellIs" dxfId="8" priority="224" operator="equal">
      <formula>"堵塞"</formula>
    </cfRule>
  </conditionalFormatting>
  <conditionalFormatting sqref="C244">
    <cfRule type="cellIs" dxfId="10" priority="2803" operator="equal">
      <formula>"1级"</formula>
    </cfRule>
    <cfRule type="cellIs" dxfId="2" priority="2799" operator="equal">
      <formula>"2级"</formula>
    </cfRule>
    <cfRule type="cellIs" dxfId="9" priority="2795" operator="equal">
      <formula>"3级"</formula>
    </cfRule>
  </conditionalFormatting>
  <conditionalFormatting sqref="E244">
    <cfRule type="cellIs" dxfId="7" priority="2791" operator="equal">
      <formula>"500/510/IVOC"</formula>
    </cfRule>
    <cfRule type="cellIs" dxfId="6" priority="2787" operator="equal">
      <formula>"500/510"</formula>
    </cfRule>
    <cfRule type="cellIs" dxfId="5" priority="2783" operator="equal">
      <formula>"IVOC"</formula>
    </cfRule>
    <cfRule type="cellIs" dxfId="2" priority="2779" operator="equal">
      <formula>"新增"</formula>
    </cfRule>
    <cfRule type="cellIs" dxfId="13" priority="2775" operator="equal">
      <formula>"优化"</formula>
    </cfRule>
    <cfRule type="cellIs" dxfId="12" priority="2771" operator="equal">
      <formula>"更新"</formula>
    </cfRule>
    <cfRule type="cellIs" dxfId="11" priority="2767" operator="equal">
      <formula>"废弃"</formula>
    </cfRule>
    <cfRule type="cellIs" dxfId="1" priority="2739" operator="equal">
      <formula>"新增"</formula>
    </cfRule>
  </conditionalFormatting>
  <conditionalFormatting sqref="L244">
    <cfRule type="cellIs" dxfId="1" priority="557" operator="equal">
      <formula>"通过"</formula>
    </cfRule>
    <cfRule type="cellIs" dxfId="0" priority="390" operator="equal">
      <formula>"不通过"</formula>
    </cfRule>
    <cfRule type="cellIs" dxfId="8" priority="223" operator="equal">
      <formula>"堵塞"</formula>
    </cfRule>
  </conditionalFormatting>
  <conditionalFormatting sqref="C245">
    <cfRule type="cellIs" dxfId="10" priority="2802" operator="equal">
      <formula>"1级"</formula>
    </cfRule>
    <cfRule type="cellIs" dxfId="2" priority="2798" operator="equal">
      <formula>"2级"</formula>
    </cfRule>
    <cfRule type="cellIs" dxfId="9" priority="2794" operator="equal">
      <formula>"3级"</formula>
    </cfRule>
  </conditionalFormatting>
  <conditionalFormatting sqref="E245">
    <cfRule type="cellIs" dxfId="7" priority="2790" operator="equal">
      <formula>"500/510/IVOC"</formula>
    </cfRule>
    <cfRule type="cellIs" dxfId="6" priority="2786" operator="equal">
      <formula>"500/510"</formula>
    </cfRule>
    <cfRule type="cellIs" dxfId="5" priority="2782" operator="equal">
      <formula>"IVOC"</formula>
    </cfRule>
    <cfRule type="cellIs" dxfId="2" priority="2778" operator="equal">
      <formula>"新增"</formula>
    </cfRule>
    <cfRule type="cellIs" dxfId="13" priority="2774" operator="equal">
      <formula>"优化"</formula>
    </cfRule>
    <cfRule type="cellIs" dxfId="12" priority="2770" operator="equal">
      <formula>"更新"</formula>
    </cfRule>
    <cfRule type="cellIs" dxfId="11" priority="2766" operator="equal">
      <formula>"废弃"</formula>
    </cfRule>
    <cfRule type="cellIs" dxfId="1" priority="2738" operator="equal">
      <formula>"新增"</formula>
    </cfRule>
  </conditionalFormatting>
  <conditionalFormatting sqref="L245">
    <cfRule type="cellIs" dxfId="1" priority="556" operator="equal">
      <formula>"通过"</formula>
    </cfRule>
    <cfRule type="cellIs" dxfId="0" priority="389" operator="equal">
      <formula>"不通过"</formula>
    </cfRule>
    <cfRule type="cellIs" dxfId="8" priority="222" operator="equal">
      <formula>"堵塞"</formula>
    </cfRule>
  </conditionalFormatting>
  <conditionalFormatting sqref="C246">
    <cfRule type="cellIs" dxfId="10" priority="2801" operator="equal">
      <formula>"1级"</formula>
    </cfRule>
    <cfRule type="cellIs" dxfId="2" priority="2797" operator="equal">
      <formula>"2级"</formula>
    </cfRule>
    <cfRule type="cellIs" dxfId="9" priority="2793" operator="equal">
      <formula>"3级"</formula>
    </cfRule>
  </conditionalFormatting>
  <conditionalFormatting sqref="E246">
    <cfRule type="cellIs" dxfId="7" priority="2789" operator="equal">
      <formula>"500/510/IVOC"</formula>
    </cfRule>
    <cfRule type="cellIs" dxfId="6" priority="2785" operator="equal">
      <formula>"500/510"</formula>
    </cfRule>
    <cfRule type="cellIs" dxfId="5" priority="2781" operator="equal">
      <formula>"IVOC"</formula>
    </cfRule>
    <cfRule type="cellIs" dxfId="2" priority="2777" operator="equal">
      <formula>"新增"</formula>
    </cfRule>
    <cfRule type="cellIs" dxfId="13" priority="2773" operator="equal">
      <formula>"优化"</formula>
    </cfRule>
    <cfRule type="cellIs" dxfId="12" priority="2769" operator="equal">
      <formula>"更新"</formula>
    </cfRule>
    <cfRule type="cellIs" dxfId="11" priority="2765" operator="equal">
      <formula>"废弃"</formula>
    </cfRule>
    <cfRule type="cellIs" dxfId="1" priority="2737" operator="equal">
      <formula>"新增"</formula>
    </cfRule>
  </conditionalFormatting>
  <conditionalFormatting sqref="L246">
    <cfRule type="cellIs" dxfId="1" priority="555" operator="equal">
      <formula>"通过"</formula>
    </cfRule>
    <cfRule type="cellIs" dxfId="0" priority="388" operator="equal">
      <formula>"不通过"</formula>
    </cfRule>
    <cfRule type="cellIs" dxfId="8" priority="221" operator="equal">
      <formula>"堵塞"</formula>
    </cfRule>
  </conditionalFormatting>
  <conditionalFormatting sqref="C247">
    <cfRule type="cellIs" dxfId="10" priority="2732" operator="equal">
      <formula>"1级"</formula>
    </cfRule>
    <cfRule type="cellIs" dxfId="2" priority="2731" operator="equal">
      <formula>"2级"</formula>
    </cfRule>
    <cfRule type="cellIs" dxfId="9" priority="2730" operator="equal">
      <formula>"3级"</formula>
    </cfRule>
  </conditionalFormatting>
  <conditionalFormatting sqref="E247">
    <cfRule type="cellIs" dxfId="7" priority="2729" operator="equal">
      <formula>"500/510/IVOC"</formula>
    </cfRule>
    <cfRule type="cellIs" dxfId="6" priority="2728" operator="equal">
      <formula>"500/510"</formula>
    </cfRule>
    <cfRule type="cellIs" dxfId="5" priority="2727" operator="equal">
      <formula>"IVOC"</formula>
    </cfRule>
    <cfRule type="cellIs" dxfId="2" priority="2726" operator="equal">
      <formula>"新增"</formula>
    </cfRule>
    <cfRule type="cellIs" dxfId="13" priority="2725" operator="equal">
      <formula>"优化"</formula>
    </cfRule>
    <cfRule type="cellIs" dxfId="12" priority="2724" operator="equal">
      <formula>"更新"</formula>
    </cfRule>
    <cfRule type="cellIs" dxfId="11" priority="2723" operator="equal">
      <formula>"废弃"</formula>
    </cfRule>
    <cfRule type="cellIs" dxfId="1" priority="2716" operator="equal">
      <formula>"新增"</formula>
    </cfRule>
  </conditionalFormatting>
  <conditionalFormatting sqref="L247">
    <cfRule type="cellIs" dxfId="1" priority="554" operator="equal">
      <formula>"通过"</formula>
    </cfRule>
    <cfRule type="cellIs" dxfId="0" priority="387" operator="equal">
      <formula>"不通过"</formula>
    </cfRule>
    <cfRule type="cellIs" dxfId="8" priority="220" operator="equal">
      <formula>"堵塞"</formula>
    </cfRule>
  </conditionalFormatting>
  <conditionalFormatting sqref="C248">
    <cfRule type="cellIs" dxfId="10" priority="2714" operator="equal">
      <formula>"1级"</formula>
    </cfRule>
    <cfRule type="cellIs" dxfId="2" priority="2710" operator="equal">
      <formula>"2级"</formula>
    </cfRule>
    <cfRule type="cellIs" dxfId="9" priority="2706" operator="equal">
      <formula>"3级"</formula>
    </cfRule>
  </conditionalFormatting>
  <conditionalFormatting sqref="E248">
    <cfRule type="cellIs" dxfId="7" priority="2702" operator="equal">
      <formula>"500/510/IVOC"</formula>
    </cfRule>
    <cfRule type="cellIs" dxfId="6" priority="2698" operator="equal">
      <formula>"500/510"</formula>
    </cfRule>
    <cfRule type="cellIs" dxfId="5" priority="2694" operator="equal">
      <formula>"IVOC"</formula>
    </cfRule>
    <cfRule type="cellIs" dxfId="2" priority="2690" operator="equal">
      <formula>"新增"</formula>
    </cfRule>
    <cfRule type="cellIs" dxfId="13" priority="2686" operator="equal">
      <formula>"优化"</formula>
    </cfRule>
    <cfRule type="cellIs" dxfId="12" priority="2682" operator="equal">
      <formula>"更新"</formula>
    </cfRule>
    <cfRule type="cellIs" dxfId="11" priority="2678" operator="equal">
      <formula>"废弃"</formula>
    </cfRule>
    <cfRule type="cellIs" dxfId="1" priority="2650" operator="equal">
      <formula>"新增"</formula>
    </cfRule>
  </conditionalFormatting>
  <conditionalFormatting sqref="L248">
    <cfRule type="cellIs" dxfId="1" priority="553" operator="equal">
      <formula>"通过"</formula>
    </cfRule>
    <cfRule type="cellIs" dxfId="0" priority="386" operator="equal">
      <formula>"不通过"</formula>
    </cfRule>
    <cfRule type="cellIs" dxfId="8" priority="219" operator="equal">
      <formula>"堵塞"</formula>
    </cfRule>
  </conditionalFormatting>
  <conditionalFormatting sqref="C249">
    <cfRule type="cellIs" dxfId="10" priority="2713" operator="equal">
      <formula>"1级"</formula>
    </cfRule>
    <cfRule type="cellIs" dxfId="2" priority="2709" operator="equal">
      <formula>"2级"</formula>
    </cfRule>
    <cfRule type="cellIs" dxfId="9" priority="2705" operator="equal">
      <formula>"3级"</formula>
    </cfRule>
  </conditionalFormatting>
  <conditionalFormatting sqref="E249">
    <cfRule type="cellIs" dxfId="7" priority="2701" operator="equal">
      <formula>"500/510/IVOC"</formula>
    </cfRule>
    <cfRule type="cellIs" dxfId="6" priority="2697" operator="equal">
      <formula>"500/510"</formula>
    </cfRule>
    <cfRule type="cellIs" dxfId="5" priority="2693" operator="equal">
      <formula>"IVOC"</formula>
    </cfRule>
    <cfRule type="cellIs" dxfId="2" priority="2689" operator="equal">
      <formula>"新增"</formula>
    </cfRule>
    <cfRule type="cellIs" dxfId="13" priority="2685" operator="equal">
      <formula>"优化"</formula>
    </cfRule>
    <cfRule type="cellIs" dxfId="12" priority="2681" operator="equal">
      <formula>"更新"</formula>
    </cfRule>
    <cfRule type="cellIs" dxfId="11" priority="2677" operator="equal">
      <formula>"废弃"</formula>
    </cfRule>
    <cfRule type="cellIs" dxfId="1" priority="2649" operator="equal">
      <formula>"新增"</formula>
    </cfRule>
  </conditionalFormatting>
  <conditionalFormatting sqref="L249">
    <cfRule type="cellIs" dxfId="1" priority="552" operator="equal">
      <formula>"通过"</formula>
    </cfRule>
    <cfRule type="cellIs" dxfId="0" priority="385" operator="equal">
      <formula>"不通过"</formula>
    </cfRule>
    <cfRule type="cellIs" dxfId="8" priority="218" operator="equal">
      <formula>"堵塞"</formula>
    </cfRule>
  </conditionalFormatting>
  <conditionalFormatting sqref="C250">
    <cfRule type="cellIs" dxfId="10" priority="2712" operator="equal">
      <formula>"1级"</formula>
    </cfRule>
    <cfRule type="cellIs" dxfId="2" priority="2708" operator="equal">
      <formula>"2级"</formula>
    </cfRule>
    <cfRule type="cellIs" dxfId="9" priority="2704" operator="equal">
      <formula>"3级"</formula>
    </cfRule>
  </conditionalFormatting>
  <conditionalFormatting sqref="E250">
    <cfRule type="cellIs" dxfId="7" priority="2700" operator="equal">
      <formula>"500/510/IVOC"</formula>
    </cfRule>
    <cfRule type="cellIs" dxfId="6" priority="2696" operator="equal">
      <formula>"500/510"</formula>
    </cfRule>
    <cfRule type="cellIs" dxfId="5" priority="2692" operator="equal">
      <formula>"IVOC"</formula>
    </cfRule>
    <cfRule type="cellIs" dxfId="2" priority="2688" operator="equal">
      <formula>"新增"</formula>
    </cfRule>
    <cfRule type="cellIs" dxfId="13" priority="2684" operator="equal">
      <formula>"优化"</formula>
    </cfRule>
    <cfRule type="cellIs" dxfId="12" priority="2680" operator="equal">
      <formula>"更新"</formula>
    </cfRule>
    <cfRule type="cellIs" dxfId="11" priority="2676" operator="equal">
      <formula>"废弃"</formula>
    </cfRule>
    <cfRule type="cellIs" dxfId="1" priority="2648" operator="equal">
      <formula>"新增"</formula>
    </cfRule>
  </conditionalFormatting>
  <conditionalFormatting sqref="L250">
    <cfRule type="cellIs" dxfId="1" priority="551" operator="equal">
      <formula>"通过"</formula>
    </cfRule>
    <cfRule type="cellIs" dxfId="0" priority="384" operator="equal">
      <formula>"不通过"</formula>
    </cfRule>
    <cfRule type="cellIs" dxfId="8" priority="217" operator="equal">
      <formula>"堵塞"</formula>
    </cfRule>
  </conditionalFormatting>
  <conditionalFormatting sqref="C251">
    <cfRule type="cellIs" dxfId="10" priority="2711" operator="equal">
      <formula>"1级"</formula>
    </cfRule>
    <cfRule type="cellIs" dxfId="2" priority="2707" operator="equal">
      <formula>"2级"</formula>
    </cfRule>
    <cfRule type="cellIs" dxfId="9" priority="2703" operator="equal">
      <formula>"3级"</formula>
    </cfRule>
  </conditionalFormatting>
  <conditionalFormatting sqref="E251">
    <cfRule type="cellIs" dxfId="7" priority="2699" operator="equal">
      <formula>"500/510/IVOC"</formula>
    </cfRule>
    <cfRule type="cellIs" dxfId="6" priority="2695" operator="equal">
      <formula>"500/510"</formula>
    </cfRule>
    <cfRule type="cellIs" dxfId="5" priority="2691" operator="equal">
      <formula>"IVOC"</formula>
    </cfRule>
    <cfRule type="cellIs" dxfId="2" priority="2687" operator="equal">
      <formula>"新增"</formula>
    </cfRule>
    <cfRule type="cellIs" dxfId="13" priority="2683" operator="equal">
      <formula>"优化"</formula>
    </cfRule>
    <cfRule type="cellIs" dxfId="12" priority="2679" operator="equal">
      <formula>"更新"</formula>
    </cfRule>
    <cfRule type="cellIs" dxfId="11" priority="2675" operator="equal">
      <formula>"废弃"</formula>
    </cfRule>
    <cfRule type="cellIs" dxfId="1" priority="2647" operator="equal">
      <formula>"新增"</formula>
    </cfRule>
  </conditionalFormatting>
  <conditionalFormatting sqref="L251">
    <cfRule type="cellIs" dxfId="1" priority="550" operator="equal">
      <formula>"通过"</formula>
    </cfRule>
    <cfRule type="cellIs" dxfId="0" priority="383" operator="equal">
      <formula>"不通过"</formula>
    </cfRule>
    <cfRule type="cellIs" dxfId="8" priority="216" operator="equal">
      <formula>"堵塞"</formula>
    </cfRule>
  </conditionalFormatting>
  <conditionalFormatting sqref="C252">
    <cfRule type="cellIs" dxfId="10" priority="2642" operator="equal">
      <formula>"1级"</formula>
    </cfRule>
    <cfRule type="cellIs" dxfId="2" priority="2641" operator="equal">
      <formula>"2级"</formula>
    </cfRule>
    <cfRule type="cellIs" dxfId="9" priority="2640" operator="equal">
      <formula>"3级"</formula>
    </cfRule>
  </conditionalFormatting>
  <conditionalFormatting sqref="E252">
    <cfRule type="cellIs" dxfId="7" priority="2639" operator="equal">
      <formula>"500/510/IVOC"</formula>
    </cfRule>
    <cfRule type="cellIs" dxfId="6" priority="2638" operator="equal">
      <formula>"500/510"</formula>
    </cfRule>
    <cfRule type="cellIs" dxfId="5" priority="2637" operator="equal">
      <formula>"IVOC"</formula>
    </cfRule>
    <cfRule type="cellIs" dxfId="2" priority="2636" operator="equal">
      <formula>"新增"</formula>
    </cfRule>
    <cfRule type="cellIs" dxfId="13" priority="2635" operator="equal">
      <formula>"优化"</formula>
    </cfRule>
    <cfRule type="cellIs" dxfId="12" priority="2634" operator="equal">
      <formula>"更新"</formula>
    </cfRule>
    <cfRule type="cellIs" dxfId="11" priority="2633" operator="equal">
      <formula>"废弃"</formula>
    </cfRule>
    <cfRule type="cellIs" dxfId="1" priority="2626" operator="equal">
      <formula>"新增"</formula>
    </cfRule>
  </conditionalFormatting>
  <conditionalFormatting sqref="L252">
    <cfRule type="cellIs" dxfId="1" priority="549" operator="equal">
      <formula>"通过"</formula>
    </cfRule>
    <cfRule type="cellIs" dxfId="0" priority="382" operator="equal">
      <formula>"不通过"</formula>
    </cfRule>
    <cfRule type="cellIs" dxfId="8" priority="215" operator="equal">
      <formula>"堵塞"</formula>
    </cfRule>
  </conditionalFormatting>
  <conditionalFormatting sqref="C253">
    <cfRule type="cellIs" dxfId="10" priority="2624" operator="equal">
      <formula>"1级"</formula>
    </cfRule>
    <cfRule type="cellIs" dxfId="2" priority="2620" operator="equal">
      <formula>"2级"</formula>
    </cfRule>
    <cfRule type="cellIs" dxfId="9" priority="2616" operator="equal">
      <formula>"3级"</formula>
    </cfRule>
  </conditionalFormatting>
  <conditionalFormatting sqref="E253">
    <cfRule type="cellIs" dxfId="7" priority="2612" operator="equal">
      <formula>"500/510/IVOC"</formula>
    </cfRule>
    <cfRule type="cellIs" dxfId="6" priority="2608" operator="equal">
      <formula>"500/510"</formula>
    </cfRule>
    <cfRule type="cellIs" dxfId="5" priority="2604" operator="equal">
      <formula>"IVOC"</formula>
    </cfRule>
    <cfRule type="cellIs" dxfId="2" priority="2600" operator="equal">
      <formula>"新增"</formula>
    </cfRule>
    <cfRule type="cellIs" dxfId="13" priority="2596" operator="equal">
      <formula>"优化"</formula>
    </cfRule>
    <cfRule type="cellIs" dxfId="12" priority="2592" operator="equal">
      <formula>"更新"</formula>
    </cfRule>
    <cfRule type="cellIs" dxfId="11" priority="2588" operator="equal">
      <formula>"废弃"</formula>
    </cfRule>
    <cfRule type="cellIs" dxfId="1" priority="2560" operator="equal">
      <formula>"新增"</formula>
    </cfRule>
  </conditionalFormatting>
  <conditionalFormatting sqref="L253">
    <cfRule type="cellIs" dxfId="1" priority="548" operator="equal">
      <formula>"通过"</formula>
    </cfRule>
    <cfRule type="cellIs" dxfId="0" priority="381" operator="equal">
      <formula>"不通过"</formula>
    </cfRule>
    <cfRule type="cellIs" dxfId="8" priority="214" operator="equal">
      <formula>"堵塞"</formula>
    </cfRule>
  </conditionalFormatting>
  <conditionalFormatting sqref="C254">
    <cfRule type="cellIs" dxfId="10" priority="2623" operator="equal">
      <formula>"1级"</formula>
    </cfRule>
    <cfRule type="cellIs" dxfId="2" priority="2619" operator="equal">
      <formula>"2级"</formula>
    </cfRule>
    <cfRule type="cellIs" dxfId="9" priority="2615" operator="equal">
      <formula>"3级"</formula>
    </cfRule>
  </conditionalFormatting>
  <conditionalFormatting sqref="E254">
    <cfRule type="cellIs" dxfId="7" priority="2611" operator="equal">
      <formula>"500/510/IVOC"</formula>
    </cfRule>
    <cfRule type="cellIs" dxfId="6" priority="2607" operator="equal">
      <formula>"500/510"</formula>
    </cfRule>
    <cfRule type="cellIs" dxfId="5" priority="2603" operator="equal">
      <formula>"IVOC"</formula>
    </cfRule>
    <cfRule type="cellIs" dxfId="2" priority="2599" operator="equal">
      <formula>"新增"</formula>
    </cfRule>
    <cfRule type="cellIs" dxfId="13" priority="2595" operator="equal">
      <formula>"优化"</formula>
    </cfRule>
    <cfRule type="cellIs" dxfId="12" priority="2591" operator="equal">
      <formula>"更新"</formula>
    </cfRule>
    <cfRule type="cellIs" dxfId="11" priority="2587" operator="equal">
      <formula>"废弃"</formula>
    </cfRule>
    <cfRule type="cellIs" dxfId="1" priority="2559" operator="equal">
      <formula>"新增"</formula>
    </cfRule>
  </conditionalFormatting>
  <conditionalFormatting sqref="L254">
    <cfRule type="cellIs" dxfId="1" priority="547" operator="equal">
      <formula>"通过"</formula>
    </cfRule>
    <cfRule type="cellIs" dxfId="0" priority="380" operator="equal">
      <formula>"不通过"</formula>
    </cfRule>
    <cfRule type="cellIs" dxfId="8" priority="213" operator="equal">
      <formula>"堵塞"</formula>
    </cfRule>
  </conditionalFormatting>
  <conditionalFormatting sqref="C255">
    <cfRule type="cellIs" dxfId="10" priority="2622" operator="equal">
      <formula>"1级"</formula>
    </cfRule>
    <cfRule type="cellIs" dxfId="2" priority="2618" operator="equal">
      <formula>"2级"</formula>
    </cfRule>
    <cfRule type="cellIs" dxfId="9" priority="2614" operator="equal">
      <formula>"3级"</formula>
    </cfRule>
  </conditionalFormatting>
  <conditionalFormatting sqref="E255">
    <cfRule type="cellIs" dxfId="7" priority="2610" operator="equal">
      <formula>"500/510/IVOC"</formula>
    </cfRule>
    <cfRule type="cellIs" dxfId="6" priority="2606" operator="equal">
      <formula>"500/510"</formula>
    </cfRule>
    <cfRule type="cellIs" dxfId="5" priority="2602" operator="equal">
      <formula>"IVOC"</formula>
    </cfRule>
    <cfRule type="cellIs" dxfId="2" priority="2598" operator="equal">
      <formula>"新增"</formula>
    </cfRule>
    <cfRule type="cellIs" dxfId="13" priority="2594" operator="equal">
      <formula>"优化"</formula>
    </cfRule>
    <cfRule type="cellIs" dxfId="12" priority="2590" operator="equal">
      <formula>"更新"</formula>
    </cfRule>
    <cfRule type="cellIs" dxfId="11" priority="2586" operator="equal">
      <formula>"废弃"</formula>
    </cfRule>
    <cfRule type="cellIs" dxfId="1" priority="2558" operator="equal">
      <formula>"新增"</formula>
    </cfRule>
  </conditionalFormatting>
  <conditionalFormatting sqref="L255">
    <cfRule type="cellIs" dxfId="1" priority="546" operator="equal">
      <formula>"通过"</formula>
    </cfRule>
    <cfRule type="cellIs" dxfId="0" priority="379" operator="equal">
      <formula>"不通过"</formula>
    </cfRule>
    <cfRule type="cellIs" dxfId="8" priority="212" operator="equal">
      <formula>"堵塞"</formula>
    </cfRule>
  </conditionalFormatting>
  <conditionalFormatting sqref="C256">
    <cfRule type="cellIs" dxfId="10" priority="2621" operator="equal">
      <formula>"1级"</formula>
    </cfRule>
    <cfRule type="cellIs" dxfId="2" priority="2617" operator="equal">
      <formula>"2级"</formula>
    </cfRule>
    <cfRule type="cellIs" dxfId="9" priority="2613" operator="equal">
      <formula>"3级"</formula>
    </cfRule>
  </conditionalFormatting>
  <conditionalFormatting sqref="E256">
    <cfRule type="cellIs" dxfId="7" priority="2609" operator="equal">
      <formula>"500/510/IVOC"</formula>
    </cfRule>
    <cfRule type="cellIs" dxfId="6" priority="2605" operator="equal">
      <formula>"500/510"</formula>
    </cfRule>
    <cfRule type="cellIs" dxfId="5" priority="2601" operator="equal">
      <formula>"IVOC"</formula>
    </cfRule>
    <cfRule type="cellIs" dxfId="2" priority="2597" operator="equal">
      <formula>"新增"</formula>
    </cfRule>
    <cfRule type="cellIs" dxfId="13" priority="2593" operator="equal">
      <formula>"优化"</formula>
    </cfRule>
    <cfRule type="cellIs" dxfId="12" priority="2589" operator="equal">
      <formula>"更新"</formula>
    </cfRule>
    <cfRule type="cellIs" dxfId="11" priority="2585" operator="equal">
      <formula>"废弃"</formula>
    </cfRule>
    <cfRule type="cellIs" dxfId="1" priority="2557" operator="equal">
      <formula>"新增"</formula>
    </cfRule>
  </conditionalFormatting>
  <conditionalFormatting sqref="L256">
    <cfRule type="cellIs" dxfId="1" priority="545" operator="equal">
      <formula>"通过"</formula>
    </cfRule>
    <cfRule type="cellIs" dxfId="0" priority="378" operator="equal">
      <formula>"不通过"</formula>
    </cfRule>
    <cfRule type="cellIs" dxfId="8" priority="211" operator="equal">
      <formula>"堵塞"</formula>
    </cfRule>
  </conditionalFormatting>
  <conditionalFormatting sqref="C257">
    <cfRule type="cellIs" dxfId="10" priority="2552" operator="equal">
      <formula>"1级"</formula>
    </cfRule>
    <cfRule type="cellIs" dxfId="2" priority="2551" operator="equal">
      <formula>"2级"</formula>
    </cfRule>
    <cfRule type="cellIs" dxfId="9" priority="2550" operator="equal">
      <formula>"3级"</formula>
    </cfRule>
  </conditionalFormatting>
  <conditionalFormatting sqref="E257">
    <cfRule type="cellIs" dxfId="7" priority="2549" operator="equal">
      <formula>"500/510/IVOC"</formula>
    </cfRule>
    <cfRule type="cellIs" dxfId="6" priority="2548" operator="equal">
      <formula>"500/510"</formula>
    </cfRule>
    <cfRule type="cellIs" dxfId="5" priority="2547" operator="equal">
      <formula>"IVOC"</formula>
    </cfRule>
    <cfRule type="cellIs" dxfId="2" priority="2546" operator="equal">
      <formula>"新增"</formula>
    </cfRule>
    <cfRule type="cellIs" dxfId="13" priority="2545" operator="equal">
      <formula>"优化"</formula>
    </cfRule>
    <cfRule type="cellIs" dxfId="12" priority="2544" operator="equal">
      <formula>"更新"</formula>
    </cfRule>
    <cfRule type="cellIs" dxfId="11" priority="2543" operator="equal">
      <formula>"废弃"</formula>
    </cfRule>
    <cfRule type="cellIs" dxfId="1" priority="2536" operator="equal">
      <formula>"新增"</formula>
    </cfRule>
  </conditionalFormatting>
  <conditionalFormatting sqref="L257">
    <cfRule type="cellIs" dxfId="1" priority="544" operator="equal">
      <formula>"通过"</formula>
    </cfRule>
    <cfRule type="cellIs" dxfId="0" priority="377" operator="equal">
      <formula>"不通过"</formula>
    </cfRule>
    <cfRule type="cellIs" dxfId="8" priority="210" operator="equal">
      <formula>"堵塞"</formula>
    </cfRule>
  </conditionalFormatting>
  <conditionalFormatting sqref="C258">
    <cfRule type="cellIs" dxfId="10" priority="2534" operator="equal">
      <formula>"1级"</formula>
    </cfRule>
    <cfRule type="cellIs" dxfId="2" priority="2530" operator="equal">
      <formula>"2级"</formula>
    </cfRule>
    <cfRule type="cellIs" dxfId="9" priority="2526" operator="equal">
      <formula>"3级"</formula>
    </cfRule>
  </conditionalFormatting>
  <conditionalFormatting sqref="E258">
    <cfRule type="cellIs" dxfId="7" priority="2522" operator="equal">
      <formula>"500/510/IVOC"</formula>
    </cfRule>
    <cfRule type="cellIs" dxfId="6" priority="2518" operator="equal">
      <formula>"500/510"</formula>
    </cfRule>
    <cfRule type="cellIs" dxfId="5" priority="2514" operator="equal">
      <formula>"IVOC"</formula>
    </cfRule>
    <cfRule type="cellIs" dxfId="2" priority="2510" operator="equal">
      <formula>"新增"</formula>
    </cfRule>
    <cfRule type="cellIs" dxfId="13" priority="2506" operator="equal">
      <formula>"优化"</formula>
    </cfRule>
    <cfRule type="cellIs" dxfId="12" priority="2502" operator="equal">
      <formula>"更新"</formula>
    </cfRule>
    <cfRule type="cellIs" dxfId="11" priority="2498" operator="equal">
      <formula>"废弃"</formula>
    </cfRule>
    <cfRule type="cellIs" dxfId="1" priority="2470" operator="equal">
      <formula>"新增"</formula>
    </cfRule>
  </conditionalFormatting>
  <conditionalFormatting sqref="L258">
    <cfRule type="cellIs" dxfId="1" priority="543" operator="equal">
      <formula>"通过"</formula>
    </cfRule>
    <cfRule type="cellIs" dxfId="0" priority="376" operator="equal">
      <formula>"不通过"</formula>
    </cfRule>
    <cfRule type="cellIs" dxfId="8" priority="209" operator="equal">
      <formula>"堵塞"</formula>
    </cfRule>
  </conditionalFormatting>
  <conditionalFormatting sqref="C259">
    <cfRule type="cellIs" dxfId="10" priority="2533" operator="equal">
      <formula>"1级"</formula>
    </cfRule>
    <cfRule type="cellIs" dxfId="2" priority="2529" operator="equal">
      <formula>"2级"</formula>
    </cfRule>
    <cfRule type="cellIs" dxfId="9" priority="2525" operator="equal">
      <formula>"3级"</formula>
    </cfRule>
  </conditionalFormatting>
  <conditionalFormatting sqref="E259">
    <cfRule type="cellIs" dxfId="7" priority="2521" operator="equal">
      <formula>"500/510/IVOC"</formula>
    </cfRule>
    <cfRule type="cellIs" dxfId="6" priority="2517" operator="equal">
      <formula>"500/510"</formula>
    </cfRule>
    <cfRule type="cellIs" dxfId="5" priority="2513" operator="equal">
      <formula>"IVOC"</formula>
    </cfRule>
    <cfRule type="cellIs" dxfId="2" priority="2509" operator="equal">
      <formula>"新增"</formula>
    </cfRule>
    <cfRule type="cellIs" dxfId="13" priority="2505" operator="equal">
      <formula>"优化"</formula>
    </cfRule>
    <cfRule type="cellIs" dxfId="12" priority="2501" operator="equal">
      <formula>"更新"</formula>
    </cfRule>
    <cfRule type="cellIs" dxfId="11" priority="2497" operator="equal">
      <formula>"废弃"</formula>
    </cfRule>
    <cfRule type="cellIs" dxfId="1" priority="2469" operator="equal">
      <formula>"新增"</formula>
    </cfRule>
  </conditionalFormatting>
  <conditionalFormatting sqref="L259">
    <cfRule type="cellIs" dxfId="1" priority="542" operator="equal">
      <formula>"通过"</formula>
    </cfRule>
    <cfRule type="cellIs" dxfId="0" priority="375" operator="equal">
      <formula>"不通过"</formula>
    </cfRule>
    <cfRule type="cellIs" dxfId="8" priority="208" operator="equal">
      <formula>"堵塞"</formula>
    </cfRule>
  </conditionalFormatting>
  <conditionalFormatting sqref="C260">
    <cfRule type="cellIs" dxfId="10" priority="2532" operator="equal">
      <formula>"1级"</formula>
    </cfRule>
    <cfRule type="cellIs" dxfId="2" priority="2528" operator="equal">
      <formula>"2级"</formula>
    </cfRule>
    <cfRule type="cellIs" dxfId="9" priority="2524" operator="equal">
      <formula>"3级"</formula>
    </cfRule>
  </conditionalFormatting>
  <conditionalFormatting sqref="E260">
    <cfRule type="cellIs" dxfId="7" priority="2520" operator="equal">
      <formula>"500/510/IVOC"</formula>
    </cfRule>
    <cfRule type="cellIs" dxfId="6" priority="2516" operator="equal">
      <formula>"500/510"</formula>
    </cfRule>
    <cfRule type="cellIs" dxfId="5" priority="2512" operator="equal">
      <formula>"IVOC"</formula>
    </cfRule>
    <cfRule type="cellIs" dxfId="2" priority="2508" operator="equal">
      <formula>"新增"</formula>
    </cfRule>
    <cfRule type="cellIs" dxfId="13" priority="2504" operator="equal">
      <formula>"优化"</formula>
    </cfRule>
    <cfRule type="cellIs" dxfId="12" priority="2500" operator="equal">
      <formula>"更新"</formula>
    </cfRule>
    <cfRule type="cellIs" dxfId="11" priority="2496" operator="equal">
      <formula>"废弃"</formula>
    </cfRule>
    <cfRule type="cellIs" dxfId="1" priority="2468" operator="equal">
      <formula>"新增"</formula>
    </cfRule>
  </conditionalFormatting>
  <conditionalFormatting sqref="L260">
    <cfRule type="cellIs" dxfId="1" priority="541" operator="equal">
      <formula>"通过"</formula>
    </cfRule>
    <cfRule type="cellIs" dxfId="0" priority="374" operator="equal">
      <formula>"不通过"</formula>
    </cfRule>
    <cfRule type="cellIs" dxfId="8" priority="207" operator="equal">
      <formula>"堵塞"</formula>
    </cfRule>
  </conditionalFormatting>
  <conditionalFormatting sqref="C261">
    <cfRule type="cellIs" dxfId="10" priority="2531" operator="equal">
      <formula>"1级"</formula>
    </cfRule>
    <cfRule type="cellIs" dxfId="2" priority="2527" operator="equal">
      <formula>"2级"</formula>
    </cfRule>
    <cfRule type="cellIs" dxfId="9" priority="2523" operator="equal">
      <formula>"3级"</formula>
    </cfRule>
  </conditionalFormatting>
  <conditionalFormatting sqref="E261">
    <cfRule type="cellIs" dxfId="7" priority="2519" operator="equal">
      <formula>"500/510/IVOC"</formula>
    </cfRule>
    <cfRule type="cellIs" dxfId="6" priority="2515" operator="equal">
      <formula>"500/510"</formula>
    </cfRule>
    <cfRule type="cellIs" dxfId="5" priority="2511" operator="equal">
      <formula>"IVOC"</formula>
    </cfRule>
    <cfRule type="cellIs" dxfId="2" priority="2507" operator="equal">
      <formula>"新增"</formula>
    </cfRule>
    <cfRule type="cellIs" dxfId="13" priority="2503" operator="equal">
      <formula>"优化"</formula>
    </cfRule>
    <cfRule type="cellIs" dxfId="12" priority="2499" operator="equal">
      <formula>"更新"</formula>
    </cfRule>
    <cfRule type="cellIs" dxfId="11" priority="2495" operator="equal">
      <formula>"废弃"</formula>
    </cfRule>
    <cfRule type="cellIs" dxfId="1" priority="2467" operator="equal">
      <formula>"新增"</formula>
    </cfRule>
  </conditionalFormatting>
  <conditionalFormatting sqref="L261">
    <cfRule type="cellIs" dxfId="1" priority="540" operator="equal">
      <formula>"通过"</formula>
    </cfRule>
    <cfRule type="cellIs" dxfId="0" priority="373" operator="equal">
      <formula>"不通过"</formula>
    </cfRule>
    <cfRule type="cellIs" dxfId="8" priority="206" operator="equal">
      <formula>"堵塞"</formula>
    </cfRule>
  </conditionalFormatting>
  <conditionalFormatting sqref="C262">
    <cfRule type="cellIs" dxfId="10" priority="2462" operator="equal">
      <formula>"1级"</formula>
    </cfRule>
    <cfRule type="cellIs" dxfId="2" priority="2461" operator="equal">
      <formula>"2级"</formula>
    </cfRule>
    <cfRule type="cellIs" dxfId="9" priority="2460" operator="equal">
      <formula>"3级"</formula>
    </cfRule>
  </conditionalFormatting>
  <conditionalFormatting sqref="E262">
    <cfRule type="cellIs" dxfId="7" priority="2459" operator="equal">
      <formula>"500/510/IVOC"</formula>
    </cfRule>
    <cfRule type="cellIs" dxfId="6" priority="2458" operator="equal">
      <formula>"500/510"</formula>
    </cfRule>
    <cfRule type="cellIs" dxfId="5" priority="2457" operator="equal">
      <formula>"IVOC"</formula>
    </cfRule>
    <cfRule type="cellIs" dxfId="2" priority="2456" operator="equal">
      <formula>"新增"</formula>
    </cfRule>
    <cfRule type="cellIs" dxfId="13" priority="2455" operator="equal">
      <formula>"优化"</formula>
    </cfRule>
    <cfRule type="cellIs" dxfId="12" priority="2454" operator="equal">
      <formula>"更新"</formula>
    </cfRule>
    <cfRule type="cellIs" dxfId="11" priority="2453" operator="equal">
      <formula>"废弃"</formula>
    </cfRule>
    <cfRule type="cellIs" dxfId="1" priority="2446" operator="equal">
      <formula>"新增"</formula>
    </cfRule>
  </conditionalFormatting>
  <conditionalFormatting sqref="L262">
    <cfRule type="cellIs" dxfId="1" priority="539" operator="equal">
      <formula>"通过"</formula>
    </cfRule>
    <cfRule type="cellIs" dxfId="0" priority="372" operator="equal">
      <formula>"不通过"</formula>
    </cfRule>
    <cfRule type="cellIs" dxfId="8" priority="205" operator="equal">
      <formula>"堵塞"</formula>
    </cfRule>
  </conditionalFormatting>
  <conditionalFormatting sqref="C263">
    <cfRule type="cellIs" dxfId="10" priority="2444" operator="equal">
      <formula>"1级"</formula>
    </cfRule>
    <cfRule type="cellIs" dxfId="2" priority="2440" operator="equal">
      <formula>"2级"</formula>
    </cfRule>
    <cfRule type="cellIs" dxfId="9" priority="2436" operator="equal">
      <formula>"3级"</formula>
    </cfRule>
  </conditionalFormatting>
  <conditionalFormatting sqref="E263">
    <cfRule type="cellIs" dxfId="7" priority="2432" operator="equal">
      <formula>"500/510/IVOC"</formula>
    </cfRule>
    <cfRule type="cellIs" dxfId="6" priority="2428" operator="equal">
      <formula>"500/510"</formula>
    </cfRule>
    <cfRule type="cellIs" dxfId="5" priority="2424" operator="equal">
      <formula>"IVOC"</formula>
    </cfRule>
    <cfRule type="cellIs" dxfId="2" priority="2420" operator="equal">
      <formula>"新增"</formula>
    </cfRule>
    <cfRule type="cellIs" dxfId="13" priority="2416" operator="equal">
      <formula>"优化"</formula>
    </cfRule>
    <cfRule type="cellIs" dxfId="12" priority="2412" operator="equal">
      <formula>"更新"</formula>
    </cfRule>
    <cfRule type="cellIs" dxfId="11" priority="2408" operator="equal">
      <formula>"废弃"</formula>
    </cfRule>
    <cfRule type="cellIs" dxfId="1" priority="2380" operator="equal">
      <formula>"新增"</formula>
    </cfRule>
  </conditionalFormatting>
  <conditionalFormatting sqref="L263">
    <cfRule type="cellIs" dxfId="1" priority="538" operator="equal">
      <formula>"通过"</formula>
    </cfRule>
    <cfRule type="cellIs" dxfId="0" priority="371" operator="equal">
      <formula>"不通过"</formula>
    </cfRule>
    <cfRule type="cellIs" dxfId="8" priority="204" operator="equal">
      <formula>"堵塞"</formula>
    </cfRule>
  </conditionalFormatting>
  <conditionalFormatting sqref="C264">
    <cfRule type="cellIs" dxfId="10" priority="2443" operator="equal">
      <formula>"1级"</formula>
    </cfRule>
    <cfRule type="cellIs" dxfId="2" priority="2439" operator="equal">
      <formula>"2级"</formula>
    </cfRule>
    <cfRule type="cellIs" dxfId="9" priority="2435" operator="equal">
      <formula>"3级"</formula>
    </cfRule>
  </conditionalFormatting>
  <conditionalFormatting sqref="E264">
    <cfRule type="cellIs" dxfId="7" priority="2431" operator="equal">
      <formula>"500/510/IVOC"</formula>
    </cfRule>
    <cfRule type="cellIs" dxfId="6" priority="2427" operator="equal">
      <formula>"500/510"</formula>
    </cfRule>
    <cfRule type="cellIs" dxfId="5" priority="2423" operator="equal">
      <formula>"IVOC"</formula>
    </cfRule>
    <cfRule type="cellIs" dxfId="2" priority="2419" operator="equal">
      <formula>"新增"</formula>
    </cfRule>
    <cfRule type="cellIs" dxfId="13" priority="2415" operator="equal">
      <formula>"优化"</formula>
    </cfRule>
    <cfRule type="cellIs" dxfId="12" priority="2411" operator="equal">
      <formula>"更新"</formula>
    </cfRule>
    <cfRule type="cellIs" dxfId="11" priority="2407" operator="equal">
      <formula>"废弃"</formula>
    </cfRule>
    <cfRule type="cellIs" dxfId="1" priority="2379" operator="equal">
      <formula>"新增"</formula>
    </cfRule>
  </conditionalFormatting>
  <conditionalFormatting sqref="L264">
    <cfRule type="cellIs" dxfId="1" priority="537" operator="equal">
      <formula>"通过"</formula>
    </cfRule>
    <cfRule type="cellIs" dxfId="0" priority="370" operator="equal">
      <formula>"不通过"</formula>
    </cfRule>
    <cfRule type="cellIs" dxfId="8" priority="203" operator="equal">
      <formula>"堵塞"</formula>
    </cfRule>
  </conditionalFormatting>
  <conditionalFormatting sqref="C265">
    <cfRule type="cellIs" dxfId="10" priority="2442" operator="equal">
      <formula>"1级"</formula>
    </cfRule>
    <cfRule type="cellIs" dxfId="2" priority="2438" operator="equal">
      <formula>"2级"</formula>
    </cfRule>
    <cfRule type="cellIs" dxfId="9" priority="2434" operator="equal">
      <formula>"3级"</formula>
    </cfRule>
  </conditionalFormatting>
  <conditionalFormatting sqref="E265">
    <cfRule type="cellIs" dxfId="7" priority="2430" operator="equal">
      <formula>"500/510/IVOC"</formula>
    </cfRule>
    <cfRule type="cellIs" dxfId="6" priority="2426" operator="equal">
      <formula>"500/510"</formula>
    </cfRule>
    <cfRule type="cellIs" dxfId="5" priority="2422" operator="equal">
      <formula>"IVOC"</formula>
    </cfRule>
    <cfRule type="cellIs" dxfId="2" priority="2418" operator="equal">
      <formula>"新增"</formula>
    </cfRule>
    <cfRule type="cellIs" dxfId="13" priority="2414" operator="equal">
      <formula>"优化"</formula>
    </cfRule>
    <cfRule type="cellIs" dxfId="12" priority="2410" operator="equal">
      <formula>"更新"</formula>
    </cfRule>
    <cfRule type="cellIs" dxfId="11" priority="2406" operator="equal">
      <formula>"废弃"</formula>
    </cfRule>
    <cfRule type="cellIs" dxfId="1" priority="2378" operator="equal">
      <formula>"新增"</formula>
    </cfRule>
  </conditionalFormatting>
  <conditionalFormatting sqref="L265">
    <cfRule type="cellIs" dxfId="1" priority="536" operator="equal">
      <formula>"通过"</formula>
    </cfRule>
    <cfRule type="cellIs" dxfId="0" priority="369" operator="equal">
      <formula>"不通过"</formula>
    </cfRule>
    <cfRule type="cellIs" dxfId="8" priority="202" operator="equal">
      <formula>"堵塞"</formula>
    </cfRule>
  </conditionalFormatting>
  <conditionalFormatting sqref="C266">
    <cfRule type="cellIs" dxfId="10" priority="2441" operator="equal">
      <formula>"1级"</formula>
    </cfRule>
    <cfRule type="cellIs" dxfId="2" priority="2437" operator="equal">
      <formula>"2级"</formula>
    </cfRule>
    <cfRule type="cellIs" dxfId="9" priority="2433" operator="equal">
      <formula>"3级"</formula>
    </cfRule>
  </conditionalFormatting>
  <conditionalFormatting sqref="E266">
    <cfRule type="cellIs" dxfId="7" priority="2429" operator="equal">
      <formula>"500/510/IVOC"</formula>
    </cfRule>
    <cfRule type="cellIs" dxfId="6" priority="2425" operator="equal">
      <formula>"500/510"</formula>
    </cfRule>
    <cfRule type="cellIs" dxfId="5" priority="2421" operator="equal">
      <formula>"IVOC"</formula>
    </cfRule>
    <cfRule type="cellIs" dxfId="2" priority="2417" operator="equal">
      <formula>"新增"</formula>
    </cfRule>
    <cfRule type="cellIs" dxfId="13" priority="2413" operator="equal">
      <formula>"优化"</formula>
    </cfRule>
    <cfRule type="cellIs" dxfId="12" priority="2409" operator="equal">
      <formula>"更新"</formula>
    </cfRule>
    <cfRule type="cellIs" dxfId="11" priority="2405" operator="equal">
      <formula>"废弃"</formula>
    </cfRule>
    <cfRule type="cellIs" dxfId="1" priority="2377" operator="equal">
      <formula>"新增"</formula>
    </cfRule>
  </conditionalFormatting>
  <conditionalFormatting sqref="L266">
    <cfRule type="cellIs" dxfId="1" priority="535" operator="equal">
      <formula>"通过"</formula>
    </cfRule>
    <cfRule type="cellIs" dxfId="0" priority="368" operator="equal">
      <formula>"不通过"</formula>
    </cfRule>
    <cfRule type="cellIs" dxfId="8" priority="201" operator="equal">
      <formula>"堵塞"</formula>
    </cfRule>
  </conditionalFormatting>
  <conditionalFormatting sqref="C267">
    <cfRule type="cellIs" dxfId="10" priority="2372" operator="equal">
      <formula>"1级"</formula>
    </cfRule>
    <cfRule type="cellIs" dxfId="2" priority="2371" operator="equal">
      <formula>"2级"</formula>
    </cfRule>
    <cfRule type="cellIs" dxfId="9" priority="2370" operator="equal">
      <formula>"3级"</formula>
    </cfRule>
  </conditionalFormatting>
  <conditionalFormatting sqref="E267">
    <cfRule type="cellIs" dxfId="7" priority="2369" operator="equal">
      <formula>"500/510/IVOC"</formula>
    </cfRule>
    <cfRule type="cellIs" dxfId="6" priority="2368" operator="equal">
      <formula>"500/510"</formula>
    </cfRule>
    <cfRule type="cellIs" dxfId="5" priority="2367" operator="equal">
      <formula>"IVOC"</formula>
    </cfRule>
    <cfRule type="cellIs" dxfId="2" priority="2366" operator="equal">
      <formula>"新增"</formula>
    </cfRule>
    <cfRule type="cellIs" dxfId="13" priority="2365" operator="equal">
      <formula>"优化"</formula>
    </cfRule>
    <cfRule type="cellIs" dxfId="12" priority="2364" operator="equal">
      <formula>"更新"</formula>
    </cfRule>
    <cfRule type="cellIs" dxfId="11" priority="2363" operator="equal">
      <formula>"废弃"</formula>
    </cfRule>
    <cfRule type="cellIs" dxfId="1" priority="2356" operator="equal">
      <formula>"新增"</formula>
    </cfRule>
  </conditionalFormatting>
  <conditionalFormatting sqref="L267">
    <cfRule type="cellIs" dxfId="1" priority="534" operator="equal">
      <formula>"通过"</formula>
    </cfRule>
    <cfRule type="cellIs" dxfId="0" priority="367" operator="equal">
      <formula>"不通过"</formula>
    </cfRule>
    <cfRule type="cellIs" dxfId="8" priority="200" operator="equal">
      <formula>"堵塞"</formula>
    </cfRule>
  </conditionalFormatting>
  <conditionalFormatting sqref="C268">
    <cfRule type="cellIs" dxfId="10" priority="2354" operator="equal">
      <formula>"1级"</formula>
    </cfRule>
    <cfRule type="cellIs" dxfId="2" priority="2350" operator="equal">
      <formula>"2级"</formula>
    </cfRule>
    <cfRule type="cellIs" dxfId="9" priority="2346" operator="equal">
      <formula>"3级"</formula>
    </cfRule>
  </conditionalFormatting>
  <conditionalFormatting sqref="E268">
    <cfRule type="cellIs" dxfId="7" priority="2342" operator="equal">
      <formula>"500/510/IVOC"</formula>
    </cfRule>
    <cfRule type="cellIs" dxfId="6" priority="2338" operator="equal">
      <formula>"500/510"</formula>
    </cfRule>
    <cfRule type="cellIs" dxfId="5" priority="2334" operator="equal">
      <formula>"IVOC"</formula>
    </cfRule>
    <cfRule type="cellIs" dxfId="2" priority="2330" operator="equal">
      <formula>"新增"</formula>
    </cfRule>
    <cfRule type="cellIs" dxfId="13" priority="2326" operator="equal">
      <formula>"优化"</formula>
    </cfRule>
    <cfRule type="cellIs" dxfId="12" priority="2322" operator="equal">
      <formula>"更新"</formula>
    </cfRule>
    <cfRule type="cellIs" dxfId="11" priority="2318" operator="equal">
      <formula>"废弃"</formula>
    </cfRule>
    <cfRule type="cellIs" dxfId="1" priority="2290" operator="equal">
      <formula>"新增"</formula>
    </cfRule>
  </conditionalFormatting>
  <conditionalFormatting sqref="L268">
    <cfRule type="cellIs" dxfId="1" priority="533" operator="equal">
      <formula>"通过"</formula>
    </cfRule>
    <cfRule type="cellIs" dxfId="0" priority="366" operator="equal">
      <formula>"不通过"</formula>
    </cfRule>
    <cfRule type="cellIs" dxfId="8" priority="199" operator="equal">
      <formula>"堵塞"</formula>
    </cfRule>
  </conditionalFormatting>
  <conditionalFormatting sqref="C269">
    <cfRule type="cellIs" dxfId="10" priority="2353" operator="equal">
      <formula>"1级"</formula>
    </cfRule>
    <cfRule type="cellIs" dxfId="2" priority="2349" operator="equal">
      <formula>"2级"</formula>
    </cfRule>
    <cfRule type="cellIs" dxfId="9" priority="2345" operator="equal">
      <formula>"3级"</formula>
    </cfRule>
  </conditionalFormatting>
  <conditionalFormatting sqref="E269">
    <cfRule type="cellIs" dxfId="7" priority="2341" operator="equal">
      <formula>"500/510/IVOC"</formula>
    </cfRule>
    <cfRule type="cellIs" dxfId="6" priority="2337" operator="equal">
      <formula>"500/510"</formula>
    </cfRule>
    <cfRule type="cellIs" dxfId="5" priority="2333" operator="equal">
      <formula>"IVOC"</formula>
    </cfRule>
    <cfRule type="cellIs" dxfId="2" priority="2329" operator="equal">
      <formula>"新增"</formula>
    </cfRule>
    <cfRule type="cellIs" dxfId="13" priority="2325" operator="equal">
      <formula>"优化"</formula>
    </cfRule>
    <cfRule type="cellIs" dxfId="12" priority="2321" operator="equal">
      <formula>"更新"</formula>
    </cfRule>
    <cfRule type="cellIs" dxfId="11" priority="2317" operator="equal">
      <formula>"废弃"</formula>
    </cfRule>
    <cfRule type="cellIs" dxfId="1" priority="2289" operator="equal">
      <formula>"新增"</formula>
    </cfRule>
  </conditionalFormatting>
  <conditionalFormatting sqref="L269">
    <cfRule type="cellIs" dxfId="1" priority="532" operator="equal">
      <formula>"通过"</formula>
    </cfRule>
    <cfRule type="cellIs" dxfId="0" priority="365" operator="equal">
      <formula>"不通过"</formula>
    </cfRule>
    <cfRule type="cellIs" dxfId="8" priority="198" operator="equal">
      <formula>"堵塞"</formula>
    </cfRule>
  </conditionalFormatting>
  <conditionalFormatting sqref="C270">
    <cfRule type="cellIs" dxfId="10" priority="2352" operator="equal">
      <formula>"1级"</formula>
    </cfRule>
    <cfRule type="cellIs" dxfId="2" priority="2348" operator="equal">
      <formula>"2级"</formula>
    </cfRule>
    <cfRule type="cellIs" dxfId="9" priority="2344" operator="equal">
      <formula>"3级"</formula>
    </cfRule>
  </conditionalFormatting>
  <conditionalFormatting sqref="E270">
    <cfRule type="cellIs" dxfId="7" priority="2340" operator="equal">
      <formula>"500/510/IVOC"</formula>
    </cfRule>
    <cfRule type="cellIs" dxfId="6" priority="2336" operator="equal">
      <formula>"500/510"</formula>
    </cfRule>
    <cfRule type="cellIs" dxfId="5" priority="2332" operator="equal">
      <formula>"IVOC"</formula>
    </cfRule>
    <cfRule type="cellIs" dxfId="2" priority="2328" operator="equal">
      <formula>"新增"</formula>
    </cfRule>
    <cfRule type="cellIs" dxfId="13" priority="2324" operator="equal">
      <formula>"优化"</formula>
    </cfRule>
    <cfRule type="cellIs" dxfId="12" priority="2320" operator="equal">
      <formula>"更新"</formula>
    </cfRule>
    <cfRule type="cellIs" dxfId="11" priority="2316" operator="equal">
      <formula>"废弃"</formula>
    </cfRule>
    <cfRule type="cellIs" dxfId="1" priority="2288" operator="equal">
      <formula>"新增"</formula>
    </cfRule>
  </conditionalFormatting>
  <conditionalFormatting sqref="L270">
    <cfRule type="cellIs" dxfId="1" priority="531" operator="equal">
      <formula>"通过"</formula>
    </cfRule>
    <cfRule type="cellIs" dxfId="0" priority="364" operator="equal">
      <formula>"不通过"</formula>
    </cfRule>
    <cfRule type="cellIs" dxfId="8" priority="197" operator="equal">
      <formula>"堵塞"</formula>
    </cfRule>
  </conditionalFormatting>
  <conditionalFormatting sqref="C271">
    <cfRule type="cellIs" dxfId="10" priority="2351" operator="equal">
      <formula>"1级"</formula>
    </cfRule>
    <cfRule type="cellIs" dxfId="2" priority="2347" operator="equal">
      <formula>"2级"</formula>
    </cfRule>
    <cfRule type="cellIs" dxfId="9" priority="2343" operator="equal">
      <formula>"3级"</formula>
    </cfRule>
  </conditionalFormatting>
  <conditionalFormatting sqref="E271">
    <cfRule type="cellIs" dxfId="7" priority="2339" operator="equal">
      <formula>"500/510/IVOC"</formula>
    </cfRule>
    <cfRule type="cellIs" dxfId="6" priority="2335" operator="equal">
      <formula>"500/510"</formula>
    </cfRule>
    <cfRule type="cellIs" dxfId="5" priority="2331" operator="equal">
      <formula>"IVOC"</formula>
    </cfRule>
    <cfRule type="cellIs" dxfId="2" priority="2327" operator="equal">
      <formula>"新增"</formula>
    </cfRule>
    <cfRule type="cellIs" dxfId="13" priority="2323" operator="equal">
      <formula>"优化"</formula>
    </cfRule>
    <cfRule type="cellIs" dxfId="12" priority="2319" operator="equal">
      <formula>"更新"</formula>
    </cfRule>
    <cfRule type="cellIs" dxfId="11" priority="2315" operator="equal">
      <formula>"废弃"</formula>
    </cfRule>
    <cfRule type="cellIs" dxfId="1" priority="2287" operator="equal">
      <formula>"新增"</formula>
    </cfRule>
  </conditionalFormatting>
  <conditionalFormatting sqref="L271">
    <cfRule type="cellIs" dxfId="1" priority="530" operator="equal">
      <formula>"通过"</formula>
    </cfRule>
    <cfRule type="cellIs" dxfId="0" priority="363" operator="equal">
      <formula>"不通过"</formula>
    </cfRule>
    <cfRule type="cellIs" dxfId="8" priority="196" operator="equal">
      <formula>"堵塞"</formula>
    </cfRule>
  </conditionalFormatting>
  <conditionalFormatting sqref="C272">
    <cfRule type="cellIs" dxfId="10" priority="2282" operator="equal">
      <formula>"1级"</formula>
    </cfRule>
    <cfRule type="cellIs" dxfId="2" priority="2281" operator="equal">
      <formula>"2级"</formula>
    </cfRule>
    <cfRule type="cellIs" dxfId="9" priority="2280" operator="equal">
      <formula>"3级"</formula>
    </cfRule>
  </conditionalFormatting>
  <conditionalFormatting sqref="E272">
    <cfRule type="cellIs" dxfId="7" priority="2279" operator="equal">
      <formula>"500/510/IVOC"</formula>
    </cfRule>
    <cfRule type="cellIs" dxfId="6" priority="2278" operator="equal">
      <formula>"500/510"</formula>
    </cfRule>
    <cfRule type="cellIs" dxfId="5" priority="2277" operator="equal">
      <formula>"IVOC"</formula>
    </cfRule>
    <cfRule type="cellIs" dxfId="2" priority="2276" operator="equal">
      <formula>"新增"</formula>
    </cfRule>
    <cfRule type="cellIs" dxfId="13" priority="2275" operator="equal">
      <formula>"优化"</formula>
    </cfRule>
    <cfRule type="cellIs" dxfId="12" priority="2274" operator="equal">
      <formula>"更新"</formula>
    </cfRule>
    <cfRule type="cellIs" dxfId="11" priority="2273" operator="equal">
      <formula>"废弃"</formula>
    </cfRule>
    <cfRule type="cellIs" dxfId="1" priority="2266" operator="equal">
      <formula>"新增"</formula>
    </cfRule>
  </conditionalFormatting>
  <conditionalFormatting sqref="L272">
    <cfRule type="cellIs" dxfId="1" priority="529" operator="equal">
      <formula>"通过"</formula>
    </cfRule>
    <cfRule type="cellIs" dxfId="0" priority="362" operator="equal">
      <formula>"不通过"</formula>
    </cfRule>
    <cfRule type="cellIs" dxfId="8" priority="195" operator="equal">
      <formula>"堵塞"</formula>
    </cfRule>
  </conditionalFormatting>
  <conditionalFormatting sqref="C273">
    <cfRule type="cellIs" dxfId="10" priority="2264" operator="equal">
      <formula>"1级"</formula>
    </cfRule>
    <cfRule type="cellIs" dxfId="2" priority="2260" operator="equal">
      <formula>"2级"</formula>
    </cfRule>
    <cfRule type="cellIs" dxfId="9" priority="2256" operator="equal">
      <formula>"3级"</formula>
    </cfRule>
  </conditionalFormatting>
  <conditionalFormatting sqref="E273">
    <cfRule type="cellIs" dxfId="7" priority="2252" operator="equal">
      <formula>"500/510/IVOC"</formula>
    </cfRule>
    <cfRule type="cellIs" dxfId="6" priority="2248" operator="equal">
      <formula>"500/510"</formula>
    </cfRule>
    <cfRule type="cellIs" dxfId="5" priority="2244" operator="equal">
      <formula>"IVOC"</formula>
    </cfRule>
    <cfRule type="cellIs" dxfId="2" priority="2240" operator="equal">
      <formula>"新增"</formula>
    </cfRule>
    <cfRule type="cellIs" dxfId="13" priority="2236" operator="equal">
      <formula>"优化"</formula>
    </cfRule>
    <cfRule type="cellIs" dxfId="12" priority="2232" operator="equal">
      <formula>"更新"</formula>
    </cfRule>
    <cfRule type="cellIs" dxfId="11" priority="2228" operator="equal">
      <formula>"废弃"</formula>
    </cfRule>
    <cfRule type="cellIs" dxfId="1" priority="2200" operator="equal">
      <formula>"新增"</formula>
    </cfRule>
  </conditionalFormatting>
  <conditionalFormatting sqref="L273">
    <cfRule type="cellIs" dxfId="1" priority="528" operator="equal">
      <formula>"通过"</formula>
    </cfRule>
    <cfRule type="cellIs" dxfId="0" priority="361" operator="equal">
      <formula>"不通过"</formula>
    </cfRule>
    <cfRule type="cellIs" dxfId="8" priority="194" operator="equal">
      <formula>"堵塞"</formula>
    </cfRule>
  </conditionalFormatting>
  <conditionalFormatting sqref="C274">
    <cfRule type="cellIs" dxfId="10" priority="2263" operator="equal">
      <formula>"1级"</formula>
    </cfRule>
    <cfRule type="cellIs" dxfId="2" priority="2259" operator="equal">
      <formula>"2级"</formula>
    </cfRule>
    <cfRule type="cellIs" dxfId="9" priority="2255" operator="equal">
      <formula>"3级"</formula>
    </cfRule>
  </conditionalFormatting>
  <conditionalFormatting sqref="E274">
    <cfRule type="cellIs" dxfId="7" priority="2251" operator="equal">
      <formula>"500/510/IVOC"</formula>
    </cfRule>
    <cfRule type="cellIs" dxfId="6" priority="2247" operator="equal">
      <formula>"500/510"</formula>
    </cfRule>
    <cfRule type="cellIs" dxfId="5" priority="2243" operator="equal">
      <formula>"IVOC"</formula>
    </cfRule>
    <cfRule type="cellIs" dxfId="2" priority="2239" operator="equal">
      <formula>"新增"</formula>
    </cfRule>
    <cfRule type="cellIs" dxfId="13" priority="2235" operator="equal">
      <formula>"优化"</formula>
    </cfRule>
    <cfRule type="cellIs" dxfId="12" priority="2231" operator="equal">
      <formula>"更新"</formula>
    </cfRule>
    <cfRule type="cellIs" dxfId="11" priority="2227" operator="equal">
      <formula>"废弃"</formula>
    </cfRule>
    <cfRule type="cellIs" dxfId="1" priority="2199" operator="equal">
      <formula>"新增"</formula>
    </cfRule>
  </conditionalFormatting>
  <conditionalFormatting sqref="L274">
    <cfRule type="cellIs" dxfId="1" priority="527" operator="equal">
      <formula>"通过"</formula>
    </cfRule>
    <cfRule type="cellIs" dxfId="0" priority="360" operator="equal">
      <formula>"不通过"</formula>
    </cfRule>
    <cfRule type="cellIs" dxfId="8" priority="193" operator="equal">
      <formula>"堵塞"</formula>
    </cfRule>
  </conditionalFormatting>
  <conditionalFormatting sqref="C275">
    <cfRule type="cellIs" dxfId="10" priority="2262" operator="equal">
      <formula>"1级"</formula>
    </cfRule>
    <cfRule type="cellIs" dxfId="2" priority="2258" operator="equal">
      <formula>"2级"</formula>
    </cfRule>
    <cfRule type="cellIs" dxfId="9" priority="2254" operator="equal">
      <formula>"3级"</formula>
    </cfRule>
  </conditionalFormatting>
  <conditionalFormatting sqref="E275">
    <cfRule type="cellIs" dxfId="7" priority="2250" operator="equal">
      <formula>"500/510/IVOC"</formula>
    </cfRule>
    <cfRule type="cellIs" dxfId="6" priority="2246" operator="equal">
      <formula>"500/510"</formula>
    </cfRule>
    <cfRule type="cellIs" dxfId="5" priority="2242" operator="equal">
      <formula>"IVOC"</formula>
    </cfRule>
    <cfRule type="cellIs" dxfId="2" priority="2238" operator="equal">
      <formula>"新增"</formula>
    </cfRule>
    <cfRule type="cellIs" dxfId="13" priority="2234" operator="equal">
      <formula>"优化"</formula>
    </cfRule>
    <cfRule type="cellIs" dxfId="12" priority="2230" operator="equal">
      <formula>"更新"</formula>
    </cfRule>
    <cfRule type="cellIs" dxfId="11" priority="2226" operator="equal">
      <formula>"废弃"</formula>
    </cfRule>
    <cfRule type="cellIs" dxfId="1" priority="2198" operator="equal">
      <formula>"新增"</formula>
    </cfRule>
  </conditionalFormatting>
  <conditionalFormatting sqref="L275">
    <cfRule type="cellIs" dxfId="1" priority="526" operator="equal">
      <formula>"通过"</formula>
    </cfRule>
    <cfRule type="cellIs" dxfId="0" priority="359" operator="equal">
      <formula>"不通过"</formula>
    </cfRule>
    <cfRule type="cellIs" dxfId="8" priority="192" operator="equal">
      <formula>"堵塞"</formula>
    </cfRule>
  </conditionalFormatting>
  <conditionalFormatting sqref="C276">
    <cfRule type="cellIs" dxfId="10" priority="2261" operator="equal">
      <formula>"1级"</formula>
    </cfRule>
    <cfRule type="cellIs" dxfId="2" priority="2257" operator="equal">
      <formula>"2级"</formula>
    </cfRule>
    <cfRule type="cellIs" dxfId="9" priority="2253" operator="equal">
      <formula>"3级"</formula>
    </cfRule>
  </conditionalFormatting>
  <conditionalFormatting sqref="E276">
    <cfRule type="cellIs" dxfId="7" priority="2249" operator="equal">
      <formula>"500/510/IVOC"</formula>
    </cfRule>
    <cfRule type="cellIs" dxfId="6" priority="2245" operator="equal">
      <formula>"500/510"</formula>
    </cfRule>
    <cfRule type="cellIs" dxfId="5" priority="2241" operator="equal">
      <formula>"IVOC"</formula>
    </cfRule>
    <cfRule type="cellIs" dxfId="2" priority="2237" operator="equal">
      <formula>"新增"</formula>
    </cfRule>
    <cfRule type="cellIs" dxfId="13" priority="2233" operator="equal">
      <formula>"优化"</formula>
    </cfRule>
    <cfRule type="cellIs" dxfId="12" priority="2229" operator="equal">
      <formula>"更新"</formula>
    </cfRule>
    <cfRule type="cellIs" dxfId="11" priority="2225" operator="equal">
      <formula>"废弃"</formula>
    </cfRule>
    <cfRule type="cellIs" dxfId="1" priority="2197" operator="equal">
      <formula>"新增"</formula>
    </cfRule>
  </conditionalFormatting>
  <conditionalFormatting sqref="L276">
    <cfRule type="cellIs" dxfId="1" priority="525" operator="equal">
      <formula>"通过"</formula>
    </cfRule>
    <cfRule type="cellIs" dxfId="0" priority="358" operator="equal">
      <formula>"不通过"</formula>
    </cfRule>
    <cfRule type="cellIs" dxfId="8" priority="191" operator="equal">
      <formula>"堵塞"</formula>
    </cfRule>
  </conditionalFormatting>
  <conditionalFormatting sqref="C277">
    <cfRule type="cellIs" dxfId="10" priority="2192" operator="equal">
      <formula>"1级"</formula>
    </cfRule>
    <cfRule type="cellIs" dxfId="2" priority="2191" operator="equal">
      <formula>"2级"</formula>
    </cfRule>
    <cfRule type="cellIs" dxfId="9" priority="2190" operator="equal">
      <formula>"3级"</formula>
    </cfRule>
  </conditionalFormatting>
  <conditionalFormatting sqref="E277">
    <cfRule type="cellIs" dxfId="7" priority="2189" operator="equal">
      <formula>"500/510/IVOC"</formula>
    </cfRule>
    <cfRule type="cellIs" dxfId="6" priority="2188" operator="equal">
      <formula>"500/510"</formula>
    </cfRule>
    <cfRule type="cellIs" dxfId="5" priority="2187" operator="equal">
      <formula>"IVOC"</formula>
    </cfRule>
    <cfRule type="cellIs" dxfId="2" priority="2186" operator="equal">
      <formula>"新增"</formula>
    </cfRule>
    <cfRule type="cellIs" dxfId="13" priority="2185" operator="equal">
      <formula>"优化"</formula>
    </cfRule>
    <cfRule type="cellIs" dxfId="12" priority="2184" operator="equal">
      <formula>"更新"</formula>
    </cfRule>
    <cfRule type="cellIs" dxfId="11" priority="2183" operator="equal">
      <formula>"废弃"</formula>
    </cfRule>
    <cfRule type="cellIs" dxfId="1" priority="2176" operator="equal">
      <formula>"新增"</formula>
    </cfRule>
  </conditionalFormatting>
  <conditionalFormatting sqref="L277">
    <cfRule type="cellIs" dxfId="1" priority="524" operator="equal">
      <formula>"通过"</formula>
    </cfRule>
    <cfRule type="cellIs" dxfId="0" priority="357" operator="equal">
      <formula>"不通过"</formula>
    </cfRule>
    <cfRule type="cellIs" dxfId="8" priority="190" operator="equal">
      <formula>"堵塞"</formula>
    </cfRule>
  </conditionalFormatting>
  <conditionalFormatting sqref="C278">
    <cfRule type="cellIs" dxfId="10" priority="2174" operator="equal">
      <formula>"1级"</formula>
    </cfRule>
    <cfRule type="cellIs" dxfId="2" priority="2170" operator="equal">
      <formula>"2级"</formula>
    </cfRule>
    <cfRule type="cellIs" dxfId="9" priority="2166" operator="equal">
      <formula>"3级"</formula>
    </cfRule>
  </conditionalFormatting>
  <conditionalFormatting sqref="E278">
    <cfRule type="cellIs" dxfId="7" priority="2162" operator="equal">
      <formula>"500/510/IVOC"</formula>
    </cfRule>
    <cfRule type="cellIs" dxfId="6" priority="2158" operator="equal">
      <formula>"500/510"</formula>
    </cfRule>
    <cfRule type="cellIs" dxfId="5" priority="2154" operator="equal">
      <formula>"IVOC"</formula>
    </cfRule>
    <cfRule type="cellIs" dxfId="2" priority="2150" operator="equal">
      <formula>"新增"</formula>
    </cfRule>
    <cfRule type="cellIs" dxfId="13" priority="2146" operator="equal">
      <formula>"优化"</formula>
    </cfRule>
    <cfRule type="cellIs" dxfId="12" priority="2142" operator="equal">
      <formula>"更新"</formula>
    </cfRule>
    <cfRule type="cellIs" dxfId="11" priority="2138" operator="equal">
      <formula>"废弃"</formula>
    </cfRule>
    <cfRule type="cellIs" dxfId="1" priority="2110" operator="equal">
      <formula>"新增"</formula>
    </cfRule>
  </conditionalFormatting>
  <conditionalFormatting sqref="L278">
    <cfRule type="cellIs" dxfId="1" priority="523" operator="equal">
      <formula>"通过"</formula>
    </cfRule>
    <cfRule type="cellIs" dxfId="0" priority="356" operator="equal">
      <formula>"不通过"</formula>
    </cfRule>
    <cfRule type="cellIs" dxfId="8" priority="189" operator="equal">
      <formula>"堵塞"</formula>
    </cfRule>
  </conditionalFormatting>
  <conditionalFormatting sqref="C279">
    <cfRule type="cellIs" dxfId="10" priority="2173" operator="equal">
      <formula>"1级"</formula>
    </cfRule>
    <cfRule type="cellIs" dxfId="2" priority="2169" operator="equal">
      <formula>"2级"</formula>
    </cfRule>
    <cfRule type="cellIs" dxfId="9" priority="2165" operator="equal">
      <formula>"3级"</formula>
    </cfRule>
  </conditionalFormatting>
  <conditionalFormatting sqref="E279">
    <cfRule type="cellIs" dxfId="7" priority="2161" operator="equal">
      <formula>"500/510/IVOC"</formula>
    </cfRule>
    <cfRule type="cellIs" dxfId="6" priority="2157" operator="equal">
      <formula>"500/510"</formula>
    </cfRule>
    <cfRule type="cellIs" dxfId="5" priority="2153" operator="equal">
      <formula>"IVOC"</formula>
    </cfRule>
    <cfRule type="cellIs" dxfId="2" priority="2149" operator="equal">
      <formula>"新增"</formula>
    </cfRule>
    <cfRule type="cellIs" dxfId="13" priority="2145" operator="equal">
      <formula>"优化"</formula>
    </cfRule>
    <cfRule type="cellIs" dxfId="12" priority="2141" operator="equal">
      <formula>"更新"</formula>
    </cfRule>
    <cfRule type="cellIs" dxfId="11" priority="2137" operator="equal">
      <formula>"废弃"</formula>
    </cfRule>
    <cfRule type="cellIs" dxfId="1" priority="2109" operator="equal">
      <formula>"新增"</formula>
    </cfRule>
  </conditionalFormatting>
  <conditionalFormatting sqref="L279">
    <cfRule type="cellIs" dxfId="1" priority="522" operator="equal">
      <formula>"通过"</formula>
    </cfRule>
    <cfRule type="cellIs" dxfId="0" priority="355" operator="equal">
      <formula>"不通过"</formula>
    </cfRule>
    <cfRule type="cellIs" dxfId="8" priority="188" operator="equal">
      <formula>"堵塞"</formula>
    </cfRule>
  </conditionalFormatting>
  <conditionalFormatting sqref="C280">
    <cfRule type="cellIs" dxfId="10" priority="2172" operator="equal">
      <formula>"1级"</formula>
    </cfRule>
    <cfRule type="cellIs" dxfId="2" priority="2168" operator="equal">
      <formula>"2级"</formula>
    </cfRule>
    <cfRule type="cellIs" dxfId="9" priority="2164" operator="equal">
      <formula>"3级"</formula>
    </cfRule>
  </conditionalFormatting>
  <conditionalFormatting sqref="E280">
    <cfRule type="cellIs" dxfId="7" priority="2160" operator="equal">
      <formula>"500/510/IVOC"</formula>
    </cfRule>
    <cfRule type="cellIs" dxfId="6" priority="2156" operator="equal">
      <formula>"500/510"</formula>
    </cfRule>
    <cfRule type="cellIs" dxfId="5" priority="2152" operator="equal">
      <formula>"IVOC"</formula>
    </cfRule>
    <cfRule type="cellIs" dxfId="2" priority="2148" operator="equal">
      <formula>"新增"</formula>
    </cfRule>
    <cfRule type="cellIs" dxfId="13" priority="2144" operator="equal">
      <formula>"优化"</formula>
    </cfRule>
    <cfRule type="cellIs" dxfId="12" priority="2140" operator="equal">
      <formula>"更新"</formula>
    </cfRule>
    <cfRule type="cellIs" dxfId="11" priority="2136" operator="equal">
      <formula>"废弃"</formula>
    </cfRule>
    <cfRule type="cellIs" dxfId="1" priority="2108" operator="equal">
      <formula>"新增"</formula>
    </cfRule>
  </conditionalFormatting>
  <conditionalFormatting sqref="L280">
    <cfRule type="cellIs" dxfId="1" priority="521" operator="equal">
      <formula>"通过"</formula>
    </cfRule>
    <cfRule type="cellIs" dxfId="0" priority="354" operator="equal">
      <formula>"不通过"</formula>
    </cfRule>
    <cfRule type="cellIs" dxfId="8" priority="187" operator="equal">
      <formula>"堵塞"</formula>
    </cfRule>
  </conditionalFormatting>
  <conditionalFormatting sqref="C281">
    <cfRule type="cellIs" dxfId="10" priority="2171" operator="equal">
      <formula>"1级"</formula>
    </cfRule>
    <cfRule type="cellIs" dxfId="2" priority="2167" operator="equal">
      <formula>"2级"</formula>
    </cfRule>
    <cfRule type="cellIs" dxfId="9" priority="2163" operator="equal">
      <formula>"3级"</formula>
    </cfRule>
  </conditionalFormatting>
  <conditionalFormatting sqref="E281">
    <cfRule type="cellIs" dxfId="7" priority="2159" operator="equal">
      <formula>"500/510/IVOC"</formula>
    </cfRule>
    <cfRule type="cellIs" dxfId="6" priority="2155" operator="equal">
      <formula>"500/510"</formula>
    </cfRule>
    <cfRule type="cellIs" dxfId="5" priority="2151" operator="equal">
      <formula>"IVOC"</formula>
    </cfRule>
    <cfRule type="cellIs" dxfId="2" priority="2147" operator="equal">
      <formula>"新增"</formula>
    </cfRule>
    <cfRule type="cellIs" dxfId="13" priority="2143" operator="equal">
      <formula>"优化"</formula>
    </cfRule>
    <cfRule type="cellIs" dxfId="12" priority="2139" operator="equal">
      <formula>"更新"</formula>
    </cfRule>
    <cfRule type="cellIs" dxfId="11" priority="2135" operator="equal">
      <formula>"废弃"</formula>
    </cfRule>
    <cfRule type="cellIs" dxfId="1" priority="2107" operator="equal">
      <formula>"新增"</formula>
    </cfRule>
  </conditionalFormatting>
  <conditionalFormatting sqref="L281">
    <cfRule type="cellIs" dxfId="1" priority="520" operator="equal">
      <formula>"通过"</formula>
    </cfRule>
    <cfRule type="cellIs" dxfId="0" priority="353" operator="equal">
      <formula>"不通过"</formula>
    </cfRule>
    <cfRule type="cellIs" dxfId="8" priority="186" operator="equal">
      <formula>"堵塞"</formula>
    </cfRule>
  </conditionalFormatting>
  <conditionalFormatting sqref="C282">
    <cfRule type="cellIs" dxfId="9" priority="2082" operator="equal">
      <formula>"3级"</formula>
    </cfRule>
    <cfRule type="cellIs" dxfId="2" priority="2083" operator="equal">
      <formula>"2级"</formula>
    </cfRule>
    <cfRule type="cellIs" dxfId="10" priority="2084" operator="equal">
      <formula>"1级"</formula>
    </cfRule>
  </conditionalFormatting>
  <conditionalFormatting sqref="E282">
    <cfRule type="cellIs" dxfId="1" priority="2068" operator="equal">
      <formula>"新增"</formula>
    </cfRule>
    <cfRule type="cellIs" dxfId="11" priority="2075" operator="equal">
      <formula>"废弃"</formula>
    </cfRule>
    <cfRule type="cellIs" dxfId="12" priority="2076" operator="equal">
      <formula>"更新"</formula>
    </cfRule>
    <cfRule type="cellIs" dxfId="13" priority="2077" operator="equal">
      <formula>"优化"</formula>
    </cfRule>
    <cfRule type="cellIs" dxfId="2" priority="2078" operator="equal">
      <formula>"新增"</formula>
    </cfRule>
    <cfRule type="cellIs" dxfId="5" priority="2079" operator="equal">
      <formula>"IVOC"</formula>
    </cfRule>
    <cfRule type="cellIs" dxfId="6" priority="2080" operator="equal">
      <formula>"500/510"</formula>
    </cfRule>
    <cfRule type="cellIs" dxfId="7" priority="2081" operator="equal">
      <formula>"500/510/IVOC"</formula>
    </cfRule>
  </conditionalFormatting>
  <conditionalFormatting sqref="L282">
    <cfRule type="cellIs" dxfId="8" priority="180" operator="equal">
      <formula>"堵塞"</formula>
    </cfRule>
    <cfRule type="cellIs" dxfId="0" priority="181" operator="equal">
      <formula>"不通过"</formula>
    </cfRule>
    <cfRule type="cellIs" dxfId="1" priority="182" operator="equal">
      <formula>"通过"</formula>
    </cfRule>
  </conditionalFormatting>
  <conditionalFormatting sqref="C283">
    <cfRule type="cellIs" dxfId="9" priority="2028" operator="equal">
      <formula>"3级"</formula>
    </cfRule>
    <cfRule type="cellIs" dxfId="2" priority="2029" operator="equal">
      <formula>"2级"</formula>
    </cfRule>
    <cfRule type="cellIs" dxfId="10" priority="2030" operator="equal">
      <formula>"1级"</formula>
    </cfRule>
  </conditionalFormatting>
  <conditionalFormatting sqref="E283">
    <cfRule type="cellIs" dxfId="1" priority="2014" operator="equal">
      <formula>"新增"</formula>
    </cfRule>
    <cfRule type="cellIs" dxfId="11" priority="2021" operator="equal">
      <formula>"废弃"</formula>
    </cfRule>
    <cfRule type="cellIs" dxfId="12" priority="2022" operator="equal">
      <formula>"更新"</formula>
    </cfRule>
    <cfRule type="cellIs" dxfId="13" priority="2023" operator="equal">
      <formula>"优化"</formula>
    </cfRule>
    <cfRule type="cellIs" dxfId="2" priority="2024" operator="equal">
      <formula>"新增"</formula>
    </cfRule>
    <cfRule type="cellIs" dxfId="5" priority="2025" operator="equal">
      <formula>"IVOC"</formula>
    </cfRule>
    <cfRule type="cellIs" dxfId="6" priority="2026" operator="equal">
      <formula>"500/510"</formula>
    </cfRule>
    <cfRule type="cellIs" dxfId="7" priority="2027" operator="equal">
      <formula>"500/510/IVOC"</formula>
    </cfRule>
  </conditionalFormatting>
  <conditionalFormatting sqref="L283">
    <cfRule type="cellIs" dxfId="8" priority="27" operator="equal">
      <formula>"堵塞"</formula>
    </cfRule>
    <cfRule type="cellIs" dxfId="0" priority="46" operator="equal">
      <formula>"不通过"</formula>
    </cfRule>
    <cfRule type="cellIs" dxfId="1" priority="65" operator="equal">
      <formula>"通过"</formula>
    </cfRule>
  </conditionalFormatting>
  <conditionalFormatting sqref="C284">
    <cfRule type="cellIs" dxfId="9" priority="1974" operator="equal">
      <formula>"3级"</formula>
    </cfRule>
    <cfRule type="cellIs" dxfId="2" priority="1975" operator="equal">
      <formula>"2级"</formula>
    </cfRule>
    <cfRule type="cellIs" dxfId="10" priority="1976" operator="equal">
      <formula>"1级"</formula>
    </cfRule>
  </conditionalFormatting>
  <conditionalFormatting sqref="E284">
    <cfRule type="cellIs" dxfId="1" priority="1960" operator="equal">
      <formula>"新增"</formula>
    </cfRule>
    <cfRule type="cellIs" dxfId="11" priority="1967" operator="equal">
      <formula>"废弃"</formula>
    </cfRule>
    <cfRule type="cellIs" dxfId="12" priority="1968" operator="equal">
      <formula>"更新"</formula>
    </cfRule>
    <cfRule type="cellIs" dxfId="13" priority="1969" operator="equal">
      <formula>"优化"</formula>
    </cfRule>
    <cfRule type="cellIs" dxfId="2" priority="1970" operator="equal">
      <formula>"新增"</formula>
    </cfRule>
    <cfRule type="cellIs" dxfId="5" priority="1971" operator="equal">
      <formula>"IVOC"</formula>
    </cfRule>
    <cfRule type="cellIs" dxfId="6" priority="1972" operator="equal">
      <formula>"500/510"</formula>
    </cfRule>
    <cfRule type="cellIs" dxfId="7" priority="1973" operator="equal">
      <formula>"500/510/IVOC"</formula>
    </cfRule>
  </conditionalFormatting>
  <conditionalFormatting sqref="L284">
    <cfRule type="cellIs" dxfId="8" priority="26" operator="equal">
      <formula>"堵塞"</formula>
    </cfRule>
    <cfRule type="cellIs" dxfId="0" priority="45" operator="equal">
      <formula>"不通过"</formula>
    </cfRule>
    <cfRule type="cellIs" dxfId="1" priority="64" operator="equal">
      <formula>"通过"</formula>
    </cfRule>
  </conditionalFormatting>
  <conditionalFormatting sqref="C285">
    <cfRule type="cellIs" dxfId="9" priority="1920" operator="equal">
      <formula>"3级"</formula>
    </cfRule>
    <cfRule type="cellIs" dxfId="2" priority="1921" operator="equal">
      <formula>"2级"</formula>
    </cfRule>
    <cfRule type="cellIs" dxfId="10" priority="1922" operator="equal">
      <formula>"1级"</formula>
    </cfRule>
  </conditionalFormatting>
  <conditionalFormatting sqref="E285">
    <cfRule type="cellIs" dxfId="1" priority="1906" operator="equal">
      <formula>"新增"</formula>
    </cfRule>
    <cfRule type="cellIs" dxfId="11" priority="1913" operator="equal">
      <formula>"废弃"</formula>
    </cfRule>
    <cfRule type="cellIs" dxfId="12" priority="1914" operator="equal">
      <formula>"更新"</formula>
    </cfRule>
    <cfRule type="cellIs" dxfId="13" priority="1915" operator="equal">
      <formula>"优化"</formula>
    </cfRule>
    <cfRule type="cellIs" dxfId="2" priority="1916" operator="equal">
      <formula>"新增"</formula>
    </cfRule>
    <cfRule type="cellIs" dxfId="5" priority="1917" operator="equal">
      <formula>"IVOC"</formula>
    </cfRule>
    <cfRule type="cellIs" dxfId="6" priority="1918" operator="equal">
      <formula>"500/510"</formula>
    </cfRule>
    <cfRule type="cellIs" dxfId="7" priority="1919" operator="equal">
      <formula>"500/510/IVOC"</formula>
    </cfRule>
  </conditionalFormatting>
  <conditionalFormatting sqref="L285">
    <cfRule type="cellIs" dxfId="8" priority="25" operator="equal">
      <formula>"堵塞"</formula>
    </cfRule>
    <cfRule type="cellIs" dxfId="0" priority="44" operator="equal">
      <formula>"不通过"</formula>
    </cfRule>
    <cfRule type="cellIs" dxfId="1" priority="63" operator="equal">
      <formula>"通过"</formula>
    </cfRule>
  </conditionalFormatting>
  <conditionalFormatting sqref="C286">
    <cfRule type="cellIs" dxfId="9" priority="1866" operator="equal">
      <formula>"3级"</formula>
    </cfRule>
    <cfRule type="cellIs" dxfId="2" priority="1867" operator="equal">
      <formula>"2级"</formula>
    </cfRule>
    <cfRule type="cellIs" dxfId="10" priority="1868" operator="equal">
      <formula>"1级"</formula>
    </cfRule>
  </conditionalFormatting>
  <conditionalFormatting sqref="E286">
    <cfRule type="cellIs" dxfId="1" priority="1852" operator="equal">
      <formula>"新增"</formula>
    </cfRule>
    <cfRule type="cellIs" dxfId="11" priority="1859" operator="equal">
      <formula>"废弃"</formula>
    </cfRule>
    <cfRule type="cellIs" dxfId="12" priority="1860" operator="equal">
      <formula>"更新"</formula>
    </cfRule>
    <cfRule type="cellIs" dxfId="13" priority="1861" operator="equal">
      <formula>"优化"</formula>
    </cfRule>
    <cfRule type="cellIs" dxfId="2" priority="1862" operator="equal">
      <formula>"新增"</formula>
    </cfRule>
    <cfRule type="cellIs" dxfId="5" priority="1863" operator="equal">
      <formula>"IVOC"</formula>
    </cfRule>
    <cfRule type="cellIs" dxfId="6" priority="1864" operator="equal">
      <formula>"500/510"</formula>
    </cfRule>
    <cfRule type="cellIs" dxfId="7" priority="1865" operator="equal">
      <formula>"500/510/IVOC"</formula>
    </cfRule>
  </conditionalFormatting>
  <conditionalFormatting sqref="L286">
    <cfRule type="cellIs" dxfId="8" priority="24" operator="equal">
      <formula>"堵塞"</formula>
    </cfRule>
    <cfRule type="cellIs" dxfId="0" priority="43" operator="equal">
      <formula>"不通过"</formula>
    </cfRule>
    <cfRule type="cellIs" dxfId="1" priority="62" operator="equal">
      <formula>"通过"</formula>
    </cfRule>
  </conditionalFormatting>
  <conditionalFormatting sqref="C287">
    <cfRule type="cellIs" dxfId="9" priority="1812" operator="equal">
      <formula>"3级"</formula>
    </cfRule>
    <cfRule type="cellIs" dxfId="2" priority="1813" operator="equal">
      <formula>"2级"</formula>
    </cfRule>
    <cfRule type="cellIs" dxfId="10" priority="1814" operator="equal">
      <formula>"1级"</formula>
    </cfRule>
  </conditionalFormatting>
  <conditionalFormatting sqref="E287">
    <cfRule type="cellIs" dxfId="1" priority="1798" operator="equal">
      <formula>"新增"</formula>
    </cfRule>
    <cfRule type="cellIs" dxfId="11" priority="1805" operator="equal">
      <formula>"废弃"</formula>
    </cfRule>
    <cfRule type="cellIs" dxfId="12" priority="1806" operator="equal">
      <formula>"更新"</formula>
    </cfRule>
    <cfRule type="cellIs" dxfId="13" priority="1807" operator="equal">
      <formula>"优化"</formula>
    </cfRule>
    <cfRule type="cellIs" dxfId="2" priority="1808" operator="equal">
      <formula>"新增"</formula>
    </cfRule>
    <cfRule type="cellIs" dxfId="5" priority="1809" operator="equal">
      <formula>"IVOC"</formula>
    </cfRule>
    <cfRule type="cellIs" dxfId="6" priority="1810" operator="equal">
      <formula>"500/510"</formula>
    </cfRule>
    <cfRule type="cellIs" dxfId="7" priority="1811" operator="equal">
      <formula>"500/510/IVOC"</formula>
    </cfRule>
  </conditionalFormatting>
  <conditionalFormatting sqref="L287">
    <cfRule type="cellIs" dxfId="8" priority="23" operator="equal">
      <formula>"堵塞"</formula>
    </cfRule>
    <cfRule type="cellIs" dxfId="0" priority="42" operator="equal">
      <formula>"不通过"</formula>
    </cfRule>
    <cfRule type="cellIs" dxfId="1" priority="61" operator="equal">
      <formula>"通过"</formula>
    </cfRule>
  </conditionalFormatting>
  <conditionalFormatting sqref="C288">
    <cfRule type="cellIs" dxfId="9" priority="1758" operator="equal">
      <formula>"3级"</formula>
    </cfRule>
    <cfRule type="cellIs" dxfId="2" priority="1759" operator="equal">
      <formula>"2级"</formula>
    </cfRule>
    <cfRule type="cellIs" dxfId="10" priority="1760" operator="equal">
      <formula>"1级"</formula>
    </cfRule>
  </conditionalFormatting>
  <conditionalFormatting sqref="E288">
    <cfRule type="cellIs" dxfId="1" priority="1744" operator="equal">
      <formula>"新增"</formula>
    </cfRule>
    <cfRule type="cellIs" dxfId="11" priority="1751" operator="equal">
      <formula>"废弃"</formula>
    </cfRule>
    <cfRule type="cellIs" dxfId="12" priority="1752" operator="equal">
      <formula>"更新"</formula>
    </cfRule>
    <cfRule type="cellIs" dxfId="13" priority="1753" operator="equal">
      <formula>"优化"</formula>
    </cfRule>
    <cfRule type="cellIs" dxfId="2" priority="1754" operator="equal">
      <formula>"新增"</formula>
    </cfRule>
    <cfRule type="cellIs" dxfId="5" priority="1755" operator="equal">
      <formula>"IVOC"</formula>
    </cfRule>
    <cfRule type="cellIs" dxfId="6" priority="1756" operator="equal">
      <formula>"500/510"</formula>
    </cfRule>
    <cfRule type="cellIs" dxfId="7" priority="1757" operator="equal">
      <formula>"500/510/IVOC"</formula>
    </cfRule>
  </conditionalFormatting>
  <conditionalFormatting sqref="L288">
    <cfRule type="cellIs" dxfId="8" priority="22" operator="equal">
      <formula>"堵塞"</formula>
    </cfRule>
    <cfRule type="cellIs" dxfId="0" priority="41" operator="equal">
      <formula>"不通过"</formula>
    </cfRule>
    <cfRule type="cellIs" dxfId="1" priority="60" operator="equal">
      <formula>"通过"</formula>
    </cfRule>
  </conditionalFormatting>
  <conditionalFormatting sqref="C289">
    <cfRule type="cellIs" dxfId="9" priority="1704" operator="equal">
      <formula>"3级"</formula>
    </cfRule>
    <cfRule type="cellIs" dxfId="2" priority="1705" operator="equal">
      <formula>"2级"</formula>
    </cfRule>
    <cfRule type="cellIs" dxfId="10" priority="1706" operator="equal">
      <formula>"1级"</formula>
    </cfRule>
  </conditionalFormatting>
  <conditionalFormatting sqref="E289">
    <cfRule type="cellIs" dxfId="1" priority="1690" operator="equal">
      <formula>"新增"</formula>
    </cfRule>
    <cfRule type="cellIs" dxfId="11" priority="1697" operator="equal">
      <formula>"废弃"</formula>
    </cfRule>
    <cfRule type="cellIs" dxfId="12" priority="1698" operator="equal">
      <formula>"更新"</formula>
    </cfRule>
    <cfRule type="cellIs" dxfId="13" priority="1699" operator="equal">
      <formula>"优化"</formula>
    </cfRule>
    <cfRule type="cellIs" dxfId="2" priority="1700" operator="equal">
      <formula>"新增"</formula>
    </cfRule>
    <cfRule type="cellIs" dxfId="5" priority="1701" operator="equal">
      <formula>"IVOC"</formula>
    </cfRule>
    <cfRule type="cellIs" dxfId="6" priority="1702" operator="equal">
      <formula>"500/510"</formula>
    </cfRule>
    <cfRule type="cellIs" dxfId="7" priority="1703" operator="equal">
      <formula>"500/510/IVOC"</formula>
    </cfRule>
  </conditionalFormatting>
  <conditionalFormatting sqref="L289">
    <cfRule type="cellIs" dxfId="8" priority="21" operator="equal">
      <formula>"堵塞"</formula>
    </cfRule>
    <cfRule type="cellIs" dxfId="0" priority="40" operator="equal">
      <formula>"不通过"</formula>
    </cfRule>
    <cfRule type="cellIs" dxfId="1" priority="59" operator="equal">
      <formula>"通过"</formula>
    </cfRule>
  </conditionalFormatting>
  <conditionalFormatting sqref="C290">
    <cfRule type="cellIs" dxfId="9" priority="1650" operator="equal">
      <formula>"3级"</formula>
    </cfRule>
    <cfRule type="cellIs" dxfId="2" priority="1651" operator="equal">
      <formula>"2级"</formula>
    </cfRule>
    <cfRule type="cellIs" dxfId="10" priority="1652" operator="equal">
      <formula>"1级"</formula>
    </cfRule>
  </conditionalFormatting>
  <conditionalFormatting sqref="E290">
    <cfRule type="cellIs" dxfId="1" priority="1636" operator="equal">
      <formula>"新增"</formula>
    </cfRule>
    <cfRule type="cellIs" dxfId="11" priority="1643" operator="equal">
      <formula>"废弃"</formula>
    </cfRule>
    <cfRule type="cellIs" dxfId="12" priority="1644" operator="equal">
      <formula>"更新"</formula>
    </cfRule>
    <cfRule type="cellIs" dxfId="13" priority="1645" operator="equal">
      <formula>"优化"</formula>
    </cfRule>
    <cfRule type="cellIs" dxfId="2" priority="1646" operator="equal">
      <formula>"新增"</formula>
    </cfRule>
    <cfRule type="cellIs" dxfId="5" priority="1647" operator="equal">
      <formula>"IVOC"</formula>
    </cfRule>
    <cfRule type="cellIs" dxfId="6" priority="1648" operator="equal">
      <formula>"500/510"</formula>
    </cfRule>
    <cfRule type="cellIs" dxfId="7" priority="1649" operator="equal">
      <formula>"500/510/IVOC"</formula>
    </cfRule>
  </conditionalFormatting>
  <conditionalFormatting sqref="L290">
    <cfRule type="cellIs" dxfId="8" priority="20" operator="equal">
      <formula>"堵塞"</formula>
    </cfRule>
    <cfRule type="cellIs" dxfId="0" priority="39" operator="equal">
      <formula>"不通过"</formula>
    </cfRule>
    <cfRule type="cellIs" dxfId="1" priority="58" operator="equal">
      <formula>"通过"</formula>
    </cfRule>
  </conditionalFormatting>
  <conditionalFormatting sqref="C291">
    <cfRule type="cellIs" dxfId="9" priority="1596" operator="equal">
      <formula>"3级"</formula>
    </cfRule>
    <cfRule type="cellIs" dxfId="2" priority="1597" operator="equal">
      <formula>"2级"</formula>
    </cfRule>
    <cfRule type="cellIs" dxfId="10" priority="1598" operator="equal">
      <formula>"1级"</formula>
    </cfRule>
  </conditionalFormatting>
  <conditionalFormatting sqref="E291">
    <cfRule type="cellIs" dxfId="1" priority="1582" operator="equal">
      <formula>"新增"</formula>
    </cfRule>
    <cfRule type="cellIs" dxfId="11" priority="1589" operator="equal">
      <formula>"废弃"</formula>
    </cfRule>
    <cfRule type="cellIs" dxfId="12" priority="1590" operator="equal">
      <formula>"更新"</formula>
    </cfRule>
    <cfRule type="cellIs" dxfId="13" priority="1591" operator="equal">
      <formula>"优化"</formula>
    </cfRule>
    <cfRule type="cellIs" dxfId="2" priority="1592" operator="equal">
      <formula>"新增"</formula>
    </cfRule>
    <cfRule type="cellIs" dxfId="5" priority="1593" operator="equal">
      <formula>"IVOC"</formula>
    </cfRule>
    <cfRule type="cellIs" dxfId="6" priority="1594" operator="equal">
      <formula>"500/510"</formula>
    </cfRule>
    <cfRule type="cellIs" dxfId="7" priority="1595" operator="equal">
      <formula>"500/510/IVOC"</formula>
    </cfRule>
  </conditionalFormatting>
  <conditionalFormatting sqref="L291">
    <cfRule type="cellIs" dxfId="8" priority="19" operator="equal">
      <formula>"堵塞"</formula>
    </cfRule>
    <cfRule type="cellIs" dxfId="0" priority="38" operator="equal">
      <formula>"不通过"</formula>
    </cfRule>
    <cfRule type="cellIs" dxfId="1" priority="57" operator="equal">
      <formula>"通过"</formula>
    </cfRule>
  </conditionalFormatting>
  <conditionalFormatting sqref="C292">
    <cfRule type="cellIs" dxfId="9" priority="1542" operator="equal">
      <formula>"3级"</formula>
    </cfRule>
    <cfRule type="cellIs" dxfId="2" priority="1543" operator="equal">
      <formula>"2级"</formula>
    </cfRule>
    <cfRule type="cellIs" dxfId="10" priority="1544" operator="equal">
      <formula>"1级"</formula>
    </cfRule>
  </conditionalFormatting>
  <conditionalFormatting sqref="E292">
    <cfRule type="cellIs" dxfId="1" priority="1528" operator="equal">
      <formula>"新增"</formula>
    </cfRule>
    <cfRule type="cellIs" dxfId="11" priority="1535" operator="equal">
      <formula>"废弃"</formula>
    </cfRule>
    <cfRule type="cellIs" dxfId="12" priority="1536" operator="equal">
      <formula>"更新"</formula>
    </cfRule>
    <cfRule type="cellIs" dxfId="13" priority="1537" operator="equal">
      <formula>"优化"</formula>
    </cfRule>
    <cfRule type="cellIs" dxfId="2" priority="1538" operator="equal">
      <formula>"新增"</formula>
    </cfRule>
    <cfRule type="cellIs" dxfId="5" priority="1539" operator="equal">
      <formula>"IVOC"</formula>
    </cfRule>
    <cfRule type="cellIs" dxfId="6" priority="1540" operator="equal">
      <formula>"500/510"</formula>
    </cfRule>
    <cfRule type="cellIs" dxfId="7" priority="1541" operator="equal">
      <formula>"500/510/IVOC"</formula>
    </cfRule>
  </conditionalFormatting>
  <conditionalFormatting sqref="L292">
    <cfRule type="cellIs" dxfId="8" priority="18" operator="equal">
      <formula>"堵塞"</formula>
    </cfRule>
    <cfRule type="cellIs" dxfId="0" priority="37" operator="equal">
      <formula>"不通过"</formula>
    </cfRule>
    <cfRule type="cellIs" dxfId="1" priority="56" operator="equal">
      <formula>"通过"</formula>
    </cfRule>
  </conditionalFormatting>
  <conditionalFormatting sqref="C293">
    <cfRule type="cellIs" dxfId="9" priority="1488" operator="equal">
      <formula>"3级"</formula>
    </cfRule>
    <cfRule type="cellIs" dxfId="2" priority="1489" operator="equal">
      <formula>"2级"</formula>
    </cfRule>
    <cfRule type="cellIs" dxfId="10" priority="1490" operator="equal">
      <formula>"1级"</formula>
    </cfRule>
  </conditionalFormatting>
  <conditionalFormatting sqref="E293">
    <cfRule type="cellIs" dxfId="1" priority="1474" operator="equal">
      <formula>"新增"</formula>
    </cfRule>
    <cfRule type="cellIs" dxfId="11" priority="1481" operator="equal">
      <formula>"废弃"</formula>
    </cfRule>
    <cfRule type="cellIs" dxfId="12" priority="1482" operator="equal">
      <formula>"更新"</formula>
    </cfRule>
    <cfRule type="cellIs" dxfId="13" priority="1483" operator="equal">
      <formula>"优化"</formula>
    </cfRule>
    <cfRule type="cellIs" dxfId="2" priority="1484" operator="equal">
      <formula>"新增"</formula>
    </cfRule>
    <cfRule type="cellIs" dxfId="5" priority="1485" operator="equal">
      <formula>"IVOC"</formula>
    </cfRule>
    <cfRule type="cellIs" dxfId="6" priority="1486" operator="equal">
      <formula>"500/510"</formula>
    </cfRule>
    <cfRule type="cellIs" dxfId="7" priority="1487" operator="equal">
      <formula>"500/510/IVOC"</formula>
    </cfRule>
  </conditionalFormatting>
  <conditionalFormatting sqref="L293">
    <cfRule type="cellIs" dxfId="8" priority="17" operator="equal">
      <formula>"堵塞"</formula>
    </cfRule>
    <cfRule type="cellIs" dxfId="0" priority="36" operator="equal">
      <formula>"不通过"</formula>
    </cfRule>
    <cfRule type="cellIs" dxfId="1" priority="55" operator="equal">
      <formula>"通过"</formula>
    </cfRule>
  </conditionalFormatting>
  <conditionalFormatting sqref="C294">
    <cfRule type="cellIs" dxfId="9" priority="1434" operator="equal">
      <formula>"3级"</formula>
    </cfRule>
    <cfRule type="cellIs" dxfId="2" priority="1435" operator="equal">
      <formula>"2级"</formula>
    </cfRule>
    <cfRule type="cellIs" dxfId="10" priority="1436" operator="equal">
      <formula>"1级"</formula>
    </cfRule>
  </conditionalFormatting>
  <conditionalFormatting sqref="E294">
    <cfRule type="cellIs" dxfId="1" priority="1420" operator="equal">
      <formula>"新增"</formula>
    </cfRule>
    <cfRule type="cellIs" dxfId="11" priority="1427" operator="equal">
      <formula>"废弃"</formula>
    </cfRule>
    <cfRule type="cellIs" dxfId="12" priority="1428" operator="equal">
      <formula>"更新"</formula>
    </cfRule>
    <cfRule type="cellIs" dxfId="13" priority="1429" operator="equal">
      <formula>"优化"</formula>
    </cfRule>
    <cfRule type="cellIs" dxfId="2" priority="1430" operator="equal">
      <formula>"新增"</formula>
    </cfRule>
    <cfRule type="cellIs" dxfId="5" priority="1431" operator="equal">
      <formula>"IVOC"</formula>
    </cfRule>
    <cfRule type="cellIs" dxfId="6" priority="1432" operator="equal">
      <formula>"500/510"</formula>
    </cfRule>
    <cfRule type="cellIs" dxfId="7" priority="1433" operator="equal">
      <formula>"500/510/IVOC"</formula>
    </cfRule>
  </conditionalFormatting>
  <conditionalFormatting sqref="L294">
    <cfRule type="cellIs" dxfId="8" priority="16" operator="equal">
      <formula>"堵塞"</formula>
    </cfRule>
    <cfRule type="cellIs" dxfId="0" priority="35" operator="equal">
      <formula>"不通过"</formula>
    </cfRule>
    <cfRule type="cellIs" dxfId="1" priority="54" operator="equal">
      <formula>"通过"</formula>
    </cfRule>
  </conditionalFormatting>
  <conditionalFormatting sqref="C295">
    <cfRule type="cellIs" dxfId="9" priority="1380" operator="equal">
      <formula>"3级"</formula>
    </cfRule>
    <cfRule type="cellIs" dxfId="2" priority="1381" operator="equal">
      <formula>"2级"</formula>
    </cfRule>
    <cfRule type="cellIs" dxfId="10" priority="1382" operator="equal">
      <formula>"1级"</formula>
    </cfRule>
  </conditionalFormatting>
  <conditionalFormatting sqref="E295">
    <cfRule type="cellIs" dxfId="1" priority="1366" operator="equal">
      <formula>"新增"</formula>
    </cfRule>
    <cfRule type="cellIs" dxfId="11" priority="1373" operator="equal">
      <formula>"废弃"</formula>
    </cfRule>
    <cfRule type="cellIs" dxfId="12" priority="1374" operator="equal">
      <formula>"更新"</formula>
    </cfRule>
    <cfRule type="cellIs" dxfId="13" priority="1375" operator="equal">
      <formula>"优化"</formula>
    </cfRule>
    <cfRule type="cellIs" dxfId="2" priority="1376" operator="equal">
      <formula>"新增"</formula>
    </cfRule>
    <cfRule type="cellIs" dxfId="5" priority="1377" operator="equal">
      <formula>"IVOC"</formula>
    </cfRule>
    <cfRule type="cellIs" dxfId="6" priority="1378" operator="equal">
      <formula>"500/510"</formula>
    </cfRule>
    <cfRule type="cellIs" dxfId="7" priority="1379" operator="equal">
      <formula>"500/510/IVOC"</formula>
    </cfRule>
  </conditionalFormatting>
  <conditionalFormatting sqref="L295">
    <cfRule type="cellIs" dxfId="8" priority="15" operator="equal">
      <formula>"堵塞"</formula>
    </cfRule>
    <cfRule type="cellIs" dxfId="0" priority="34" operator="equal">
      <formula>"不通过"</formula>
    </cfRule>
    <cfRule type="cellIs" dxfId="1" priority="53" operator="equal">
      <formula>"通过"</formula>
    </cfRule>
  </conditionalFormatting>
  <conditionalFormatting sqref="C296">
    <cfRule type="cellIs" dxfId="9" priority="1326" operator="equal">
      <formula>"3级"</formula>
    </cfRule>
    <cfRule type="cellIs" dxfId="2" priority="1327" operator="equal">
      <formula>"2级"</formula>
    </cfRule>
    <cfRule type="cellIs" dxfId="10" priority="1328" operator="equal">
      <formula>"1级"</formula>
    </cfRule>
  </conditionalFormatting>
  <conditionalFormatting sqref="E296">
    <cfRule type="cellIs" dxfId="1" priority="1312" operator="equal">
      <formula>"新增"</formula>
    </cfRule>
    <cfRule type="cellIs" dxfId="11" priority="1319" operator="equal">
      <formula>"废弃"</formula>
    </cfRule>
    <cfRule type="cellIs" dxfId="12" priority="1320" operator="equal">
      <formula>"更新"</formula>
    </cfRule>
    <cfRule type="cellIs" dxfId="13" priority="1321" operator="equal">
      <formula>"优化"</formula>
    </cfRule>
    <cfRule type="cellIs" dxfId="2" priority="1322" operator="equal">
      <formula>"新增"</formula>
    </cfRule>
    <cfRule type="cellIs" dxfId="5" priority="1323" operator="equal">
      <formula>"IVOC"</formula>
    </cfRule>
    <cfRule type="cellIs" dxfId="6" priority="1324" operator="equal">
      <formula>"500/510"</formula>
    </cfRule>
    <cfRule type="cellIs" dxfId="7" priority="1325" operator="equal">
      <formula>"500/510/IVOC"</formula>
    </cfRule>
  </conditionalFormatting>
  <conditionalFormatting sqref="L296">
    <cfRule type="cellIs" dxfId="8" priority="14" operator="equal">
      <formula>"堵塞"</formula>
    </cfRule>
    <cfRule type="cellIs" dxfId="0" priority="33" operator="equal">
      <formula>"不通过"</formula>
    </cfRule>
    <cfRule type="cellIs" dxfId="1" priority="52" operator="equal">
      <formula>"通过"</formula>
    </cfRule>
  </conditionalFormatting>
  <conditionalFormatting sqref="C297">
    <cfRule type="cellIs" dxfId="9" priority="1272" operator="equal">
      <formula>"3级"</formula>
    </cfRule>
    <cfRule type="cellIs" dxfId="2" priority="1273" operator="equal">
      <formula>"2级"</formula>
    </cfRule>
    <cfRule type="cellIs" dxfId="10" priority="1274" operator="equal">
      <formula>"1级"</formula>
    </cfRule>
  </conditionalFormatting>
  <conditionalFormatting sqref="E297">
    <cfRule type="cellIs" dxfId="1" priority="1258" operator="equal">
      <formula>"新增"</formula>
    </cfRule>
    <cfRule type="cellIs" dxfId="11" priority="1265" operator="equal">
      <formula>"废弃"</formula>
    </cfRule>
    <cfRule type="cellIs" dxfId="12" priority="1266" operator="equal">
      <formula>"更新"</formula>
    </cfRule>
    <cfRule type="cellIs" dxfId="13" priority="1267" operator="equal">
      <formula>"优化"</formula>
    </cfRule>
    <cfRule type="cellIs" dxfId="2" priority="1268" operator="equal">
      <formula>"新增"</formula>
    </cfRule>
    <cfRule type="cellIs" dxfId="5" priority="1269" operator="equal">
      <formula>"IVOC"</formula>
    </cfRule>
    <cfRule type="cellIs" dxfId="6" priority="1270" operator="equal">
      <formula>"500/510"</formula>
    </cfRule>
    <cfRule type="cellIs" dxfId="7" priority="1271" operator="equal">
      <formula>"500/510/IVOC"</formula>
    </cfRule>
  </conditionalFormatting>
  <conditionalFormatting sqref="L297">
    <cfRule type="cellIs" dxfId="8" priority="13" operator="equal">
      <formula>"堵塞"</formula>
    </cfRule>
    <cfRule type="cellIs" dxfId="0" priority="32" operator="equal">
      <formula>"不通过"</formula>
    </cfRule>
    <cfRule type="cellIs" dxfId="1" priority="51" operator="equal">
      <formula>"通过"</formula>
    </cfRule>
  </conditionalFormatting>
  <conditionalFormatting sqref="C298">
    <cfRule type="cellIs" dxfId="9" priority="1218" operator="equal">
      <formula>"3级"</formula>
    </cfRule>
    <cfRule type="cellIs" dxfId="2" priority="1219" operator="equal">
      <formula>"2级"</formula>
    </cfRule>
    <cfRule type="cellIs" dxfId="10" priority="1220" operator="equal">
      <formula>"1级"</formula>
    </cfRule>
  </conditionalFormatting>
  <conditionalFormatting sqref="E298">
    <cfRule type="cellIs" dxfId="1" priority="1204" operator="equal">
      <formula>"新增"</formula>
    </cfRule>
    <cfRule type="cellIs" dxfId="11" priority="1211" operator="equal">
      <formula>"废弃"</formula>
    </cfRule>
    <cfRule type="cellIs" dxfId="12" priority="1212" operator="equal">
      <formula>"更新"</formula>
    </cfRule>
    <cfRule type="cellIs" dxfId="13" priority="1213" operator="equal">
      <formula>"优化"</formula>
    </cfRule>
    <cfRule type="cellIs" dxfId="2" priority="1214" operator="equal">
      <formula>"新增"</formula>
    </cfRule>
    <cfRule type="cellIs" dxfId="5" priority="1215" operator="equal">
      <formula>"IVOC"</formula>
    </cfRule>
    <cfRule type="cellIs" dxfId="6" priority="1216" operator="equal">
      <formula>"500/510"</formula>
    </cfRule>
    <cfRule type="cellIs" dxfId="7" priority="1217" operator="equal">
      <formula>"500/510/IVOC"</formula>
    </cfRule>
  </conditionalFormatting>
  <conditionalFormatting sqref="L298">
    <cfRule type="cellIs" dxfId="8" priority="12" operator="equal">
      <formula>"堵塞"</formula>
    </cfRule>
    <cfRule type="cellIs" dxfId="0" priority="31" operator="equal">
      <formula>"不通过"</formula>
    </cfRule>
    <cfRule type="cellIs" dxfId="1" priority="50" operator="equal">
      <formula>"通过"</formula>
    </cfRule>
  </conditionalFormatting>
  <conditionalFormatting sqref="C299">
    <cfRule type="cellIs" dxfId="9" priority="1164" operator="equal">
      <formula>"3级"</formula>
    </cfRule>
    <cfRule type="cellIs" dxfId="2" priority="1165" operator="equal">
      <formula>"2级"</formula>
    </cfRule>
    <cfRule type="cellIs" dxfId="10" priority="1166" operator="equal">
      <formula>"1级"</formula>
    </cfRule>
  </conditionalFormatting>
  <conditionalFormatting sqref="E299">
    <cfRule type="cellIs" dxfId="1" priority="1150" operator="equal">
      <formula>"新增"</formula>
    </cfRule>
    <cfRule type="cellIs" dxfId="11" priority="1157" operator="equal">
      <formula>"废弃"</formula>
    </cfRule>
    <cfRule type="cellIs" dxfId="12" priority="1158" operator="equal">
      <formula>"更新"</formula>
    </cfRule>
    <cfRule type="cellIs" dxfId="13" priority="1159" operator="equal">
      <formula>"优化"</formula>
    </cfRule>
    <cfRule type="cellIs" dxfId="2" priority="1160" operator="equal">
      <formula>"新增"</formula>
    </cfRule>
    <cfRule type="cellIs" dxfId="5" priority="1161" operator="equal">
      <formula>"IVOC"</formula>
    </cfRule>
    <cfRule type="cellIs" dxfId="6" priority="1162" operator="equal">
      <formula>"500/510"</formula>
    </cfRule>
    <cfRule type="cellIs" dxfId="7" priority="1163" operator="equal">
      <formula>"500/510/IVOC"</formula>
    </cfRule>
  </conditionalFormatting>
  <conditionalFormatting sqref="L299">
    <cfRule type="cellIs" dxfId="8" priority="11" operator="equal">
      <formula>"堵塞"</formula>
    </cfRule>
    <cfRule type="cellIs" dxfId="0" priority="30" operator="equal">
      <formula>"不通过"</formula>
    </cfRule>
    <cfRule type="cellIs" dxfId="1" priority="49" operator="equal">
      <formula>"通过"</formula>
    </cfRule>
  </conditionalFormatting>
  <conditionalFormatting sqref="C300">
    <cfRule type="cellIs" dxfId="9" priority="1110" operator="equal">
      <formula>"3级"</formula>
    </cfRule>
    <cfRule type="cellIs" dxfId="2" priority="1111" operator="equal">
      <formula>"2级"</formula>
    </cfRule>
    <cfRule type="cellIs" dxfId="10" priority="1112" operator="equal">
      <formula>"1级"</formula>
    </cfRule>
  </conditionalFormatting>
  <conditionalFormatting sqref="E300">
    <cfRule type="cellIs" dxfId="1" priority="1096" operator="equal">
      <formula>"新增"</formula>
    </cfRule>
    <cfRule type="cellIs" dxfId="11" priority="1103" operator="equal">
      <formula>"废弃"</formula>
    </cfRule>
    <cfRule type="cellIs" dxfId="12" priority="1104" operator="equal">
      <formula>"更新"</formula>
    </cfRule>
    <cfRule type="cellIs" dxfId="13" priority="1105" operator="equal">
      <formula>"优化"</formula>
    </cfRule>
    <cfRule type="cellIs" dxfId="2" priority="1106" operator="equal">
      <formula>"新增"</formula>
    </cfRule>
    <cfRule type="cellIs" dxfId="5" priority="1107" operator="equal">
      <formula>"IVOC"</formula>
    </cfRule>
    <cfRule type="cellIs" dxfId="6" priority="1108" operator="equal">
      <formula>"500/510"</formula>
    </cfRule>
    <cfRule type="cellIs" dxfId="7" priority="1109" operator="equal">
      <formula>"500/510/IVOC"</formula>
    </cfRule>
  </conditionalFormatting>
  <conditionalFormatting sqref="L300">
    <cfRule type="cellIs" dxfId="8" priority="10" operator="equal">
      <formula>"堵塞"</formula>
    </cfRule>
    <cfRule type="cellIs" dxfId="0" priority="29" operator="equal">
      <formula>"不通过"</formula>
    </cfRule>
    <cfRule type="cellIs" dxfId="1" priority="48" operator="equal">
      <formula>"通过"</formula>
    </cfRule>
  </conditionalFormatting>
  <conditionalFormatting sqref="C301">
    <cfRule type="cellIs" dxfId="9" priority="1056" operator="equal">
      <formula>"3级"</formula>
    </cfRule>
    <cfRule type="cellIs" dxfId="2" priority="1057" operator="equal">
      <formula>"2级"</formula>
    </cfRule>
    <cfRule type="cellIs" dxfId="10" priority="1058" operator="equal">
      <formula>"1级"</formula>
    </cfRule>
  </conditionalFormatting>
  <conditionalFormatting sqref="E301">
    <cfRule type="cellIs" dxfId="1" priority="1042" operator="equal">
      <formula>"新增"</formula>
    </cfRule>
    <cfRule type="cellIs" dxfId="11" priority="1049" operator="equal">
      <formula>"废弃"</formula>
    </cfRule>
    <cfRule type="cellIs" dxfId="12" priority="1050" operator="equal">
      <formula>"更新"</formula>
    </cfRule>
    <cfRule type="cellIs" dxfId="13" priority="1051" operator="equal">
      <formula>"优化"</formula>
    </cfRule>
    <cfRule type="cellIs" dxfId="2" priority="1052" operator="equal">
      <formula>"新增"</formula>
    </cfRule>
    <cfRule type="cellIs" dxfId="5" priority="1053" operator="equal">
      <formula>"IVOC"</formula>
    </cfRule>
    <cfRule type="cellIs" dxfId="6" priority="1054" operator="equal">
      <formula>"500/510"</formula>
    </cfRule>
    <cfRule type="cellIs" dxfId="7" priority="1055" operator="equal">
      <formula>"500/510/IVOC"</formula>
    </cfRule>
  </conditionalFormatting>
  <conditionalFormatting sqref="L301">
    <cfRule type="cellIs" dxfId="8" priority="9" operator="equal">
      <formula>"堵塞"</formula>
    </cfRule>
    <cfRule type="cellIs" dxfId="0" priority="28" operator="equal">
      <formula>"不通过"</formula>
    </cfRule>
    <cfRule type="cellIs" dxfId="1" priority="47" operator="equal">
      <formula>"通过"</formula>
    </cfRule>
  </conditionalFormatting>
  <conditionalFormatting sqref="E2:E3">
    <cfRule type="cellIs" dxfId="11" priority="12832" operator="equal">
      <formula>"废弃"</formula>
    </cfRule>
    <cfRule type="cellIs" dxfId="12" priority="12833" operator="equal">
      <formula>"更新"</formula>
    </cfRule>
    <cfRule type="cellIs" dxfId="13" priority="12834" operator="equal">
      <formula>"优化"</formula>
    </cfRule>
    <cfRule type="cellIs" dxfId="2" priority="12835" operator="equal">
      <formula>"新增"</formula>
    </cfRule>
    <cfRule type="cellIs" dxfId="5" priority="12836" operator="equal">
      <formula>"IVOC"</formula>
    </cfRule>
    <cfRule type="cellIs" dxfId="6" priority="12837" operator="equal">
      <formula>"500/510"</formula>
    </cfRule>
    <cfRule type="cellIs" dxfId="7" priority="12838" operator="equal">
      <formula>"500/510/IVOC"</formula>
    </cfRule>
  </conditionalFormatting>
  <conditionalFormatting sqref="F3:F301">
    <cfRule type="cellIs" dxfId="1" priority="1" operator="equal">
      <formula>"是"</formula>
    </cfRule>
    <cfRule type="cellIs" dxfId="1" priority="2" operator="equal">
      <formula>"新增"</formula>
    </cfRule>
    <cfRule type="cellIs" dxfId="2" priority="3" operator="equal">
      <formula>"是"</formula>
    </cfRule>
    <cfRule type="cellIs" dxfId="3" priority="4" operator="equal">
      <formula>"否"</formula>
    </cfRule>
    <cfRule type="cellIs" dxfId="4" priority="5" operator="equal">
      <formula>"是"</formula>
    </cfRule>
    <cfRule type="cellIs" dxfId="5" priority="6" operator="equal">
      <formula>"IVOC"</formula>
    </cfRule>
    <cfRule type="cellIs" dxfId="6" priority="7" operator="equal">
      <formula>"500/510"</formula>
    </cfRule>
    <cfRule type="cellIs" dxfId="7" priority="8" operator="equal">
      <formula>"500/510/IVOC"</formula>
    </cfRule>
  </conditionalFormatting>
  <conditionalFormatting sqref="L302:L1048576">
    <cfRule type="cellIs" dxfId="8" priority="12842" operator="equal">
      <formula>"堵塞"</formula>
    </cfRule>
    <cfRule type="cellIs" dxfId="0" priority="12843" operator="equal">
      <formula>"不通过"</formula>
    </cfRule>
    <cfRule type="cellIs" dxfId="1" priority="12844" operator="equal">
      <formula>"通过"</formula>
    </cfRule>
  </conditionalFormatting>
  <conditionalFormatting sqref="C1:C2 C302:C1048576">
    <cfRule type="cellIs" dxfId="9" priority="12845" operator="equal">
      <formula>"3级"</formula>
    </cfRule>
    <cfRule type="cellIs" dxfId="2" priority="12846" operator="equal">
      <formula>"2级"</formula>
    </cfRule>
    <cfRule type="cellIs" dxfId="10" priority="12847" operator="equal">
      <formula>"1级"</formula>
    </cfRule>
  </conditionalFormatting>
  <conditionalFormatting sqref="E2:F2 E3">
    <cfRule type="cellIs" dxfId="1" priority="12825" operator="equal">
      <formula>"新增"</formula>
    </cfRule>
  </conditionalFormatting>
  <dataValidations count="5">
    <dataValidation type="list" allowBlank="1" showInputMessage="1" showErrorMessage="1" sqref="L1">
      <formula1>"通过,不通过"</formula1>
    </dataValidation>
    <dataValidation type="list" allowBlank="1" showInputMessage="1" showErrorMessage="1" sqref="C2:C1048576">
      <formula1>"1级,2级,3级"</formula1>
    </dataValidation>
    <dataValidation type="list" allowBlank="1" showInputMessage="1" showErrorMessage="1" sqref="E2:E301">
      <formula1>"新增,优化,更新,废弃,初始"</formula1>
    </dataValidation>
    <dataValidation type="list" allowBlank="1" showInputMessage="1" showErrorMessage="1" sqref="F2:F301">
      <formula1>"是,否"</formula1>
    </dataValidation>
    <dataValidation type="list" allowBlank="1" showInputMessage="1" showErrorMessage="1" sqref="L2:L1048576">
      <formula1>"通过,不通过,堵塞"</formula1>
    </dataValidation>
  </dataValidations>
  <hyperlinks>
    <hyperlink ref="P1" location="总目录!A1" display="返回总目录"/>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
  <sheetViews>
    <sheetView tabSelected="1" topLeftCell="G1" workbookViewId="0">
      <selection activeCell="N14" sqref="N14"/>
    </sheetView>
  </sheetViews>
  <sheetFormatPr defaultColWidth="9" defaultRowHeight="14.25"/>
  <cols>
    <col min="1" max="1" width="9" style="25"/>
    <col min="2" max="2" width="15.875" style="26" customWidth="1"/>
    <col min="3" max="3" width="9.5" style="26" customWidth="1"/>
    <col min="4" max="4" width="10" style="26" customWidth="1"/>
    <col min="5" max="6" width="10" style="30" customWidth="1"/>
    <col min="7" max="7" width="23.75" style="26" customWidth="1"/>
    <col min="8" max="8" width="30.875" style="25" customWidth="1"/>
    <col min="9" max="9" width="22.625" style="27" customWidth="1"/>
    <col min="10" max="10" width="41.75" style="27" customWidth="1"/>
    <col min="11" max="11" width="38.25" style="25" customWidth="1"/>
    <col min="12" max="12" width="10.75" style="26" customWidth="1"/>
    <col min="13" max="14" width="12" style="31" customWidth="1"/>
    <col min="15" max="15" width="20.5" style="31" customWidth="1"/>
    <col min="16" max="16" width="11.625" style="31" customWidth="1"/>
    <col min="17" max="16384" width="9" style="25"/>
  </cols>
  <sheetData>
    <row r="1" ht="28.5" spans="1:16">
      <c r="A1" s="1" t="s">
        <v>17</v>
      </c>
      <c r="B1" s="2" t="s">
        <v>18</v>
      </c>
      <c r="C1" s="2" t="s">
        <v>19</v>
      </c>
      <c r="D1" s="2" t="s">
        <v>20</v>
      </c>
      <c r="E1" s="3" t="s">
        <v>21</v>
      </c>
      <c r="F1" s="3" t="s">
        <v>22</v>
      </c>
      <c r="G1" s="2" t="s">
        <v>23</v>
      </c>
      <c r="H1" s="2" t="s">
        <v>24</v>
      </c>
      <c r="I1" s="2" t="s">
        <v>25</v>
      </c>
      <c r="J1" s="2" t="s">
        <v>26</v>
      </c>
      <c r="K1" s="2" t="s">
        <v>27</v>
      </c>
      <c r="L1" s="2" t="s">
        <v>28</v>
      </c>
      <c r="M1" s="7" t="s">
        <v>29</v>
      </c>
      <c r="N1" s="7" t="s">
        <v>30</v>
      </c>
      <c r="O1" s="7" t="s">
        <v>31</v>
      </c>
      <c r="P1" s="29" t="s">
        <v>32</v>
      </c>
    </row>
    <row r="2" ht="28.5" spans="1:15">
      <c r="A2" s="2" t="s">
        <v>637</v>
      </c>
      <c r="B2" s="32" t="s">
        <v>638</v>
      </c>
      <c r="C2" s="6" t="s">
        <v>35</v>
      </c>
      <c r="D2" s="6" t="s">
        <v>36</v>
      </c>
      <c r="E2" s="7" t="s">
        <v>37</v>
      </c>
      <c r="F2" s="7" t="s">
        <v>38</v>
      </c>
      <c r="G2" s="8" t="str">
        <f t="shared" ref="G2:G7" si="0">"ATS_3.3.1.1.2_"&amp;ROW()-1</f>
        <v>ATS_3.3.1.1.2_1</v>
      </c>
      <c r="H2" s="9" t="s">
        <v>639</v>
      </c>
      <c r="I2" s="8" t="s">
        <v>640</v>
      </c>
      <c r="J2" s="21" t="s">
        <v>119</v>
      </c>
      <c r="K2" s="22" t="s">
        <v>641</v>
      </c>
      <c r="L2" s="2" t="s">
        <v>43</v>
      </c>
      <c r="M2" s="33">
        <v>45842</v>
      </c>
      <c r="N2" s="34" t="s">
        <v>642</v>
      </c>
      <c r="O2" s="34"/>
    </row>
    <row r="3" ht="28.5" spans="1:15">
      <c r="A3" s="2"/>
      <c r="B3" s="32"/>
      <c r="C3" s="6" t="s">
        <v>35</v>
      </c>
      <c r="D3" s="6" t="s">
        <v>36</v>
      </c>
      <c r="E3" s="7" t="s">
        <v>37</v>
      </c>
      <c r="F3" s="7" t="s">
        <v>38</v>
      </c>
      <c r="G3" s="8" t="str">
        <f t="shared" si="0"/>
        <v>ATS_3.3.1.1.2_2</v>
      </c>
      <c r="H3" s="9" t="s">
        <v>643</v>
      </c>
      <c r="I3" s="8" t="s">
        <v>640</v>
      </c>
      <c r="J3" s="21" t="s">
        <v>644</v>
      </c>
      <c r="K3" s="22" t="s">
        <v>645</v>
      </c>
      <c r="L3" s="2" t="s">
        <v>43</v>
      </c>
      <c r="M3" s="33">
        <v>45842</v>
      </c>
      <c r="N3" s="34" t="s">
        <v>642</v>
      </c>
      <c r="O3" s="34"/>
    </row>
    <row r="4" ht="28.5" spans="1:15">
      <c r="A4" s="2"/>
      <c r="B4" s="32"/>
      <c r="C4" s="6" t="s">
        <v>35</v>
      </c>
      <c r="D4" s="6" t="s">
        <v>36</v>
      </c>
      <c r="E4" s="7" t="s">
        <v>37</v>
      </c>
      <c r="F4" s="7" t="s">
        <v>38</v>
      </c>
      <c r="G4" s="8" t="str">
        <f t="shared" si="0"/>
        <v>ATS_3.3.1.1.2_3</v>
      </c>
      <c r="H4" s="9" t="s">
        <v>646</v>
      </c>
      <c r="I4" s="8" t="s">
        <v>640</v>
      </c>
      <c r="J4" s="21" t="s">
        <v>134</v>
      </c>
      <c r="K4" s="22" t="s">
        <v>647</v>
      </c>
      <c r="L4" s="2" t="s">
        <v>43</v>
      </c>
      <c r="M4" s="33">
        <v>45842</v>
      </c>
      <c r="N4" s="34" t="s">
        <v>642</v>
      </c>
      <c r="O4" s="34"/>
    </row>
    <row r="5" ht="28.5" spans="1:15">
      <c r="A5" s="2" t="s">
        <v>648</v>
      </c>
      <c r="B5" s="32" t="s">
        <v>649</v>
      </c>
      <c r="C5" s="6" t="s">
        <v>35</v>
      </c>
      <c r="D5" s="6" t="s">
        <v>36</v>
      </c>
      <c r="E5" s="7" t="s">
        <v>37</v>
      </c>
      <c r="F5" s="7" t="s">
        <v>38</v>
      </c>
      <c r="G5" s="8" t="str">
        <f>"ATS_3.3.1.1.7_"&amp;ROW()-1</f>
        <v>ATS_3.3.1.1.7_4</v>
      </c>
      <c r="H5" s="9" t="s">
        <v>650</v>
      </c>
      <c r="I5" s="8" t="s">
        <v>640</v>
      </c>
      <c r="J5" s="21" t="s">
        <v>651</v>
      </c>
      <c r="K5" s="22" t="s">
        <v>652</v>
      </c>
      <c r="L5" s="2" t="s">
        <v>43</v>
      </c>
      <c r="M5" s="33">
        <v>45842</v>
      </c>
      <c r="N5" s="34" t="s">
        <v>642</v>
      </c>
      <c r="O5" s="34"/>
    </row>
    <row r="6" ht="28.5" spans="1:15">
      <c r="A6" s="2"/>
      <c r="B6" s="32"/>
      <c r="C6" s="6" t="s">
        <v>35</v>
      </c>
      <c r="D6" s="6" t="s">
        <v>36</v>
      </c>
      <c r="E6" s="7" t="s">
        <v>37</v>
      </c>
      <c r="F6" s="7" t="s">
        <v>38</v>
      </c>
      <c r="G6" s="8" t="str">
        <f t="shared" si="0"/>
        <v>ATS_3.3.1.1.2_5</v>
      </c>
      <c r="H6" s="9" t="s">
        <v>653</v>
      </c>
      <c r="I6" s="8" t="s">
        <v>640</v>
      </c>
      <c r="J6" s="21" t="s">
        <v>654</v>
      </c>
      <c r="K6" s="22" t="s">
        <v>655</v>
      </c>
      <c r="L6" s="2" t="s">
        <v>43</v>
      </c>
      <c r="M6" s="33">
        <v>45842</v>
      </c>
      <c r="N6" s="34" t="s">
        <v>642</v>
      </c>
      <c r="O6" s="34"/>
    </row>
    <row r="7" ht="28.5" spans="1:15">
      <c r="A7" s="2"/>
      <c r="B7" s="32"/>
      <c r="C7" s="6" t="s">
        <v>35</v>
      </c>
      <c r="D7" s="6" t="s">
        <v>36</v>
      </c>
      <c r="E7" s="7" t="s">
        <v>37</v>
      </c>
      <c r="F7" s="7" t="s">
        <v>38</v>
      </c>
      <c r="G7" s="8" t="str">
        <f t="shared" si="0"/>
        <v>ATS_3.3.1.1.2_6</v>
      </c>
      <c r="H7" s="9" t="s">
        <v>656</v>
      </c>
      <c r="I7" s="8" t="s">
        <v>640</v>
      </c>
      <c r="J7" s="21" t="s">
        <v>657</v>
      </c>
      <c r="K7" s="22" t="s">
        <v>658</v>
      </c>
      <c r="L7" s="2" t="s">
        <v>43</v>
      </c>
      <c r="M7" s="33">
        <v>45842</v>
      </c>
      <c r="N7" s="34" t="s">
        <v>642</v>
      </c>
      <c r="O7" s="34"/>
    </row>
    <row r="8" ht="28.5" spans="1:15">
      <c r="A8" s="2"/>
      <c r="B8" s="32" t="s">
        <v>659</v>
      </c>
      <c r="C8" s="6" t="s">
        <v>35</v>
      </c>
      <c r="D8" s="6" t="s">
        <v>36</v>
      </c>
      <c r="E8" s="7" t="s">
        <v>37</v>
      </c>
      <c r="F8" s="7" t="s">
        <v>38</v>
      </c>
      <c r="G8" s="8" t="str">
        <f>"ATS_3.3.1.1.7_"&amp;ROW()-1</f>
        <v>ATS_3.3.1.1.7_7</v>
      </c>
      <c r="H8" s="9" t="s">
        <v>660</v>
      </c>
      <c r="I8" s="8" t="s">
        <v>640</v>
      </c>
      <c r="J8" s="21" t="s">
        <v>644</v>
      </c>
      <c r="K8" s="22" t="s">
        <v>661</v>
      </c>
      <c r="L8" s="2" t="s">
        <v>43</v>
      </c>
      <c r="M8" s="33">
        <v>45842</v>
      </c>
      <c r="N8" s="34" t="s">
        <v>642</v>
      </c>
      <c r="O8" s="34"/>
    </row>
    <row r="9" ht="28.5" spans="1:15">
      <c r="A9" s="2"/>
      <c r="B9" s="32"/>
      <c r="C9" s="6" t="s">
        <v>35</v>
      </c>
      <c r="D9" s="6" t="s">
        <v>36</v>
      </c>
      <c r="E9" s="7" t="s">
        <v>37</v>
      </c>
      <c r="F9" s="7" t="s">
        <v>38</v>
      </c>
      <c r="G9" s="8" t="str">
        <f>"ATS_3.3.1.1.2_"&amp;ROW()-1</f>
        <v>ATS_3.3.1.1.2_8</v>
      </c>
      <c r="H9" s="9" t="s">
        <v>662</v>
      </c>
      <c r="I9" s="8" t="s">
        <v>640</v>
      </c>
      <c r="J9" s="21" t="s">
        <v>663</v>
      </c>
      <c r="K9" s="22" t="s">
        <v>664</v>
      </c>
      <c r="L9" s="2" t="s">
        <v>43</v>
      </c>
      <c r="M9" s="33">
        <v>45842</v>
      </c>
      <c r="N9" s="34" t="s">
        <v>642</v>
      </c>
      <c r="O9" s="34"/>
    </row>
    <row r="10" ht="28.5" spans="1:15">
      <c r="A10" s="2"/>
      <c r="B10" s="32"/>
      <c r="C10" s="6" t="s">
        <v>35</v>
      </c>
      <c r="D10" s="6" t="s">
        <v>36</v>
      </c>
      <c r="E10" s="7" t="s">
        <v>37</v>
      </c>
      <c r="F10" s="7" t="s">
        <v>38</v>
      </c>
      <c r="G10" s="8" t="str">
        <f>"ATS_3.3.1.1.2_"&amp;ROW()-1</f>
        <v>ATS_3.3.1.1.2_9</v>
      </c>
      <c r="H10" s="9" t="s">
        <v>665</v>
      </c>
      <c r="I10" s="8" t="s">
        <v>640</v>
      </c>
      <c r="J10" s="21" t="s">
        <v>666</v>
      </c>
      <c r="K10" s="22" t="s">
        <v>667</v>
      </c>
      <c r="L10" s="2" t="s">
        <v>43</v>
      </c>
      <c r="M10" s="33">
        <v>45842</v>
      </c>
      <c r="N10" s="34" t="s">
        <v>642</v>
      </c>
      <c r="O10" s="34"/>
    </row>
  </sheetData>
  <mergeCells count="5">
    <mergeCell ref="A2:A4"/>
    <mergeCell ref="A5:A10"/>
    <mergeCell ref="B2:B4"/>
    <mergeCell ref="B5:B7"/>
    <mergeCell ref="B8:B10"/>
  </mergeCells>
  <conditionalFormatting sqref="C2">
    <cfRule type="cellIs" dxfId="10" priority="194" operator="equal">
      <formula>"1级"</formula>
    </cfRule>
    <cfRule type="cellIs" dxfId="2" priority="193" operator="equal">
      <formula>"2级"</formula>
    </cfRule>
    <cfRule type="cellIs" dxfId="9" priority="192" operator="equal">
      <formula>"3级"</formula>
    </cfRule>
  </conditionalFormatting>
  <conditionalFormatting sqref="E2">
    <cfRule type="cellIs" dxfId="7" priority="191" operator="equal">
      <formula>"500/510/IVOC"</formula>
    </cfRule>
    <cfRule type="cellIs" dxfId="6" priority="190" operator="equal">
      <formula>"500/510"</formula>
    </cfRule>
    <cfRule type="cellIs" dxfId="5" priority="189" operator="equal">
      <formula>"IVOC"</formula>
    </cfRule>
    <cfRule type="cellIs" dxfId="2" priority="188" operator="equal">
      <formula>"新增"</formula>
    </cfRule>
    <cfRule type="cellIs" dxfId="13" priority="187" operator="equal">
      <formula>"优化"</formula>
    </cfRule>
    <cfRule type="cellIs" dxfId="12" priority="186" operator="equal">
      <formula>"更新"</formula>
    </cfRule>
    <cfRule type="cellIs" dxfId="11" priority="185" operator="equal">
      <formula>"废弃"</formula>
    </cfRule>
    <cfRule type="cellIs" dxfId="1" priority="178" operator="equal">
      <formula>"新增"</formula>
    </cfRule>
  </conditionalFormatting>
  <conditionalFormatting sqref="C3">
    <cfRule type="cellIs" dxfId="10" priority="176" operator="equal">
      <formula>"1级"</formula>
    </cfRule>
    <cfRule type="cellIs" dxfId="2" priority="174" operator="equal">
      <formula>"2级"</formula>
    </cfRule>
    <cfRule type="cellIs" dxfId="9" priority="172" operator="equal">
      <formula>"3级"</formula>
    </cfRule>
  </conditionalFormatting>
  <conditionalFormatting sqref="E3">
    <cfRule type="cellIs" dxfId="7" priority="170" operator="equal">
      <formula>"500/510/IVOC"</formula>
    </cfRule>
    <cfRule type="cellIs" dxfId="6" priority="168" operator="equal">
      <formula>"500/510"</formula>
    </cfRule>
    <cfRule type="cellIs" dxfId="5" priority="166" operator="equal">
      <formula>"IVOC"</formula>
    </cfRule>
    <cfRule type="cellIs" dxfId="2" priority="164" operator="equal">
      <formula>"新增"</formula>
    </cfRule>
    <cfRule type="cellIs" dxfId="13" priority="162" operator="equal">
      <formula>"优化"</formula>
    </cfRule>
    <cfRule type="cellIs" dxfId="12" priority="160" operator="equal">
      <formula>"更新"</formula>
    </cfRule>
    <cfRule type="cellIs" dxfId="11" priority="158" operator="equal">
      <formula>"废弃"</formula>
    </cfRule>
    <cfRule type="cellIs" dxfId="1" priority="144" operator="equal">
      <formula>"新增"</formula>
    </cfRule>
  </conditionalFormatting>
  <conditionalFormatting sqref="L3">
    <cfRule type="cellIs" dxfId="1" priority="24" operator="equal">
      <formula>"通过"</formula>
    </cfRule>
    <cfRule type="cellIs" dxfId="0" priority="16" operator="equal">
      <formula>"不通过"</formula>
    </cfRule>
    <cfRule type="cellIs" dxfId="8" priority="8" operator="equal">
      <formula>"堵塞"</formula>
    </cfRule>
  </conditionalFormatting>
  <conditionalFormatting sqref="C4">
    <cfRule type="cellIs" dxfId="10" priority="175" operator="equal">
      <formula>"1级"</formula>
    </cfRule>
    <cfRule type="cellIs" dxfId="2" priority="173" operator="equal">
      <formula>"2级"</formula>
    </cfRule>
    <cfRule type="cellIs" dxfId="9" priority="171" operator="equal">
      <formula>"3级"</formula>
    </cfRule>
  </conditionalFormatting>
  <conditionalFormatting sqref="E4">
    <cfRule type="cellIs" dxfId="7" priority="169" operator="equal">
      <formula>"500/510/IVOC"</formula>
    </cfRule>
    <cfRule type="cellIs" dxfId="6" priority="167" operator="equal">
      <formula>"500/510"</formula>
    </cfRule>
    <cfRule type="cellIs" dxfId="5" priority="165" operator="equal">
      <formula>"IVOC"</formula>
    </cfRule>
    <cfRule type="cellIs" dxfId="2" priority="163" operator="equal">
      <formula>"新增"</formula>
    </cfRule>
    <cfRule type="cellIs" dxfId="13" priority="161" operator="equal">
      <formula>"优化"</formula>
    </cfRule>
    <cfRule type="cellIs" dxfId="12" priority="159" operator="equal">
      <formula>"更新"</formula>
    </cfRule>
    <cfRule type="cellIs" dxfId="11" priority="157" operator="equal">
      <formula>"废弃"</formula>
    </cfRule>
    <cfRule type="cellIs" dxfId="1" priority="143" operator="equal">
      <formula>"新增"</formula>
    </cfRule>
  </conditionalFormatting>
  <conditionalFormatting sqref="L4">
    <cfRule type="cellIs" dxfId="1" priority="23" operator="equal">
      <formula>"通过"</formula>
    </cfRule>
    <cfRule type="cellIs" dxfId="0" priority="15" operator="equal">
      <formula>"不通过"</formula>
    </cfRule>
    <cfRule type="cellIs" dxfId="8" priority="7" operator="equal">
      <formula>"堵塞"</formula>
    </cfRule>
  </conditionalFormatting>
  <conditionalFormatting sqref="C5">
    <cfRule type="cellIs" dxfId="10" priority="140" operator="equal">
      <formula>"1级"</formula>
    </cfRule>
    <cfRule type="cellIs" dxfId="2" priority="139" operator="equal">
      <formula>"2级"</formula>
    </cfRule>
    <cfRule type="cellIs" dxfId="9" priority="138" operator="equal">
      <formula>"3级"</formula>
    </cfRule>
  </conditionalFormatting>
  <conditionalFormatting sqref="E5">
    <cfRule type="cellIs" dxfId="7" priority="137" operator="equal">
      <formula>"500/510/IVOC"</formula>
    </cfRule>
    <cfRule type="cellIs" dxfId="6" priority="136" operator="equal">
      <formula>"500/510"</formula>
    </cfRule>
    <cfRule type="cellIs" dxfId="5" priority="135" operator="equal">
      <formula>"IVOC"</formula>
    </cfRule>
    <cfRule type="cellIs" dxfId="2" priority="134" operator="equal">
      <formula>"新增"</formula>
    </cfRule>
    <cfRule type="cellIs" dxfId="13" priority="133" operator="equal">
      <formula>"优化"</formula>
    </cfRule>
    <cfRule type="cellIs" dxfId="12" priority="132" operator="equal">
      <formula>"更新"</formula>
    </cfRule>
    <cfRule type="cellIs" dxfId="11" priority="131" operator="equal">
      <formula>"废弃"</formula>
    </cfRule>
    <cfRule type="cellIs" dxfId="1" priority="124" operator="equal">
      <formula>"新增"</formula>
    </cfRule>
  </conditionalFormatting>
  <conditionalFormatting sqref="L5">
    <cfRule type="cellIs" dxfId="1" priority="22" operator="equal">
      <formula>"通过"</formula>
    </cfRule>
    <cfRule type="cellIs" dxfId="0" priority="14" operator="equal">
      <formula>"不通过"</formula>
    </cfRule>
    <cfRule type="cellIs" dxfId="8" priority="6" operator="equal">
      <formula>"堵塞"</formula>
    </cfRule>
  </conditionalFormatting>
  <conditionalFormatting sqref="C6">
    <cfRule type="cellIs" dxfId="10" priority="122" operator="equal">
      <formula>"1级"</formula>
    </cfRule>
    <cfRule type="cellIs" dxfId="2" priority="120" operator="equal">
      <formula>"2级"</formula>
    </cfRule>
    <cfRule type="cellIs" dxfId="9" priority="118" operator="equal">
      <formula>"3级"</formula>
    </cfRule>
  </conditionalFormatting>
  <conditionalFormatting sqref="E6">
    <cfRule type="cellIs" dxfId="7" priority="116" operator="equal">
      <formula>"500/510/IVOC"</formula>
    </cfRule>
    <cfRule type="cellIs" dxfId="6" priority="114" operator="equal">
      <formula>"500/510"</formula>
    </cfRule>
    <cfRule type="cellIs" dxfId="5" priority="112" operator="equal">
      <formula>"IVOC"</formula>
    </cfRule>
    <cfRule type="cellIs" dxfId="2" priority="110" operator="equal">
      <formula>"新增"</formula>
    </cfRule>
    <cfRule type="cellIs" dxfId="13" priority="108" operator="equal">
      <formula>"优化"</formula>
    </cfRule>
    <cfRule type="cellIs" dxfId="12" priority="106" operator="equal">
      <formula>"更新"</formula>
    </cfRule>
    <cfRule type="cellIs" dxfId="11" priority="104" operator="equal">
      <formula>"废弃"</formula>
    </cfRule>
    <cfRule type="cellIs" dxfId="1" priority="90" operator="equal">
      <formula>"新增"</formula>
    </cfRule>
  </conditionalFormatting>
  <conditionalFormatting sqref="L6">
    <cfRule type="cellIs" dxfId="1" priority="21" operator="equal">
      <formula>"通过"</formula>
    </cfRule>
    <cfRule type="cellIs" dxfId="0" priority="13" operator="equal">
      <formula>"不通过"</formula>
    </cfRule>
    <cfRule type="cellIs" dxfId="8" priority="5" operator="equal">
      <formula>"堵塞"</formula>
    </cfRule>
  </conditionalFormatting>
  <conditionalFormatting sqref="C7">
    <cfRule type="cellIs" dxfId="10" priority="121" operator="equal">
      <formula>"1级"</formula>
    </cfRule>
    <cfRule type="cellIs" dxfId="2" priority="119" operator="equal">
      <formula>"2级"</formula>
    </cfRule>
    <cfRule type="cellIs" dxfId="9" priority="117" operator="equal">
      <formula>"3级"</formula>
    </cfRule>
  </conditionalFormatting>
  <conditionalFormatting sqref="E7">
    <cfRule type="cellIs" dxfId="7" priority="115" operator="equal">
      <formula>"500/510/IVOC"</formula>
    </cfRule>
    <cfRule type="cellIs" dxfId="6" priority="113" operator="equal">
      <formula>"500/510"</formula>
    </cfRule>
    <cfRule type="cellIs" dxfId="5" priority="111" operator="equal">
      <formula>"IVOC"</formula>
    </cfRule>
    <cfRule type="cellIs" dxfId="2" priority="109" operator="equal">
      <formula>"新增"</formula>
    </cfRule>
    <cfRule type="cellIs" dxfId="13" priority="107" operator="equal">
      <formula>"优化"</formula>
    </cfRule>
    <cfRule type="cellIs" dxfId="12" priority="105" operator="equal">
      <formula>"更新"</formula>
    </cfRule>
    <cfRule type="cellIs" dxfId="11" priority="103" operator="equal">
      <formula>"废弃"</formula>
    </cfRule>
    <cfRule type="cellIs" dxfId="1" priority="89" operator="equal">
      <formula>"新增"</formula>
    </cfRule>
  </conditionalFormatting>
  <conditionalFormatting sqref="L7">
    <cfRule type="cellIs" dxfId="1" priority="20" operator="equal">
      <formula>"通过"</formula>
    </cfRule>
    <cfRule type="cellIs" dxfId="0" priority="12" operator="equal">
      <formula>"不通过"</formula>
    </cfRule>
    <cfRule type="cellIs" dxfId="8" priority="4" operator="equal">
      <formula>"堵塞"</formula>
    </cfRule>
  </conditionalFormatting>
  <conditionalFormatting sqref="C8">
    <cfRule type="cellIs" dxfId="10" priority="86" operator="equal">
      <formula>"1级"</formula>
    </cfRule>
    <cfRule type="cellIs" dxfId="2" priority="85" operator="equal">
      <formula>"2级"</formula>
    </cfRule>
    <cfRule type="cellIs" dxfId="9" priority="84" operator="equal">
      <formula>"3级"</formula>
    </cfRule>
  </conditionalFormatting>
  <conditionalFormatting sqref="E8">
    <cfRule type="cellIs" dxfId="7" priority="83" operator="equal">
      <formula>"500/510/IVOC"</formula>
    </cfRule>
    <cfRule type="cellIs" dxfId="6" priority="82" operator="equal">
      <formula>"500/510"</formula>
    </cfRule>
    <cfRule type="cellIs" dxfId="5" priority="81" operator="equal">
      <formula>"IVOC"</formula>
    </cfRule>
    <cfRule type="cellIs" dxfId="2" priority="80" operator="equal">
      <formula>"新增"</formula>
    </cfRule>
    <cfRule type="cellIs" dxfId="13" priority="79" operator="equal">
      <formula>"优化"</formula>
    </cfRule>
    <cfRule type="cellIs" dxfId="12" priority="78" operator="equal">
      <formula>"更新"</formula>
    </cfRule>
    <cfRule type="cellIs" dxfId="11" priority="77" operator="equal">
      <formula>"废弃"</formula>
    </cfRule>
    <cfRule type="cellIs" dxfId="1" priority="70" operator="equal">
      <formula>"新增"</formula>
    </cfRule>
  </conditionalFormatting>
  <conditionalFormatting sqref="L8">
    <cfRule type="cellIs" dxfId="1" priority="19" operator="equal">
      <formula>"通过"</formula>
    </cfRule>
    <cfRule type="cellIs" dxfId="0" priority="11" operator="equal">
      <formula>"不通过"</formula>
    </cfRule>
    <cfRule type="cellIs" dxfId="8" priority="3" operator="equal">
      <formula>"堵塞"</formula>
    </cfRule>
  </conditionalFormatting>
  <conditionalFormatting sqref="C9">
    <cfRule type="cellIs" dxfId="10" priority="68" operator="equal">
      <formula>"1级"</formula>
    </cfRule>
    <cfRule type="cellIs" dxfId="2" priority="66" operator="equal">
      <formula>"2级"</formula>
    </cfRule>
    <cfRule type="cellIs" dxfId="9" priority="64" operator="equal">
      <formula>"3级"</formula>
    </cfRule>
  </conditionalFormatting>
  <conditionalFormatting sqref="E9">
    <cfRule type="cellIs" dxfId="7" priority="62" operator="equal">
      <formula>"500/510/IVOC"</formula>
    </cfRule>
    <cfRule type="cellIs" dxfId="6" priority="60" operator="equal">
      <formula>"500/510"</formula>
    </cfRule>
    <cfRule type="cellIs" dxfId="5" priority="58" operator="equal">
      <formula>"IVOC"</formula>
    </cfRule>
    <cfRule type="cellIs" dxfId="2" priority="56" operator="equal">
      <formula>"新增"</formula>
    </cfRule>
    <cfRule type="cellIs" dxfId="13" priority="54" operator="equal">
      <formula>"优化"</formula>
    </cfRule>
    <cfRule type="cellIs" dxfId="12" priority="52" operator="equal">
      <formula>"更新"</formula>
    </cfRule>
    <cfRule type="cellIs" dxfId="11" priority="50" operator="equal">
      <formula>"废弃"</formula>
    </cfRule>
    <cfRule type="cellIs" dxfId="1" priority="36" operator="equal">
      <formula>"新增"</formula>
    </cfRule>
  </conditionalFormatting>
  <conditionalFormatting sqref="L9">
    <cfRule type="cellIs" dxfId="1" priority="18" operator="equal">
      <formula>"通过"</formula>
    </cfRule>
    <cfRule type="cellIs" dxfId="0" priority="10" operator="equal">
      <formula>"不通过"</formula>
    </cfRule>
    <cfRule type="cellIs" dxfId="8" priority="2" operator="equal">
      <formula>"堵塞"</formula>
    </cfRule>
  </conditionalFormatting>
  <conditionalFormatting sqref="C10">
    <cfRule type="cellIs" dxfId="10" priority="67" operator="equal">
      <formula>"1级"</formula>
    </cfRule>
    <cfRule type="cellIs" dxfId="2" priority="65" operator="equal">
      <formula>"2级"</formula>
    </cfRule>
    <cfRule type="cellIs" dxfId="9" priority="63" operator="equal">
      <formula>"3级"</formula>
    </cfRule>
  </conditionalFormatting>
  <conditionalFormatting sqref="E10">
    <cfRule type="cellIs" dxfId="7" priority="61" operator="equal">
      <formula>"500/510/IVOC"</formula>
    </cfRule>
    <cfRule type="cellIs" dxfId="6" priority="59" operator="equal">
      <formula>"500/510"</formula>
    </cfRule>
    <cfRule type="cellIs" dxfId="5" priority="57" operator="equal">
      <formula>"IVOC"</formula>
    </cfRule>
    <cfRule type="cellIs" dxfId="2" priority="55" operator="equal">
      <formula>"新增"</formula>
    </cfRule>
    <cfRule type="cellIs" dxfId="13" priority="53" operator="equal">
      <formula>"优化"</formula>
    </cfRule>
    <cfRule type="cellIs" dxfId="12" priority="51" operator="equal">
      <formula>"更新"</formula>
    </cfRule>
    <cfRule type="cellIs" dxfId="11" priority="49" operator="equal">
      <formula>"废弃"</formula>
    </cfRule>
    <cfRule type="cellIs" dxfId="1" priority="35" operator="equal">
      <formula>"新增"</formula>
    </cfRule>
  </conditionalFormatting>
  <conditionalFormatting sqref="L10">
    <cfRule type="cellIs" dxfId="1" priority="17" operator="equal">
      <formula>"通过"</formula>
    </cfRule>
    <cfRule type="cellIs" dxfId="0" priority="9" operator="equal">
      <formula>"不通过"</formula>
    </cfRule>
    <cfRule type="cellIs" dxfId="8" priority="1" operator="equal">
      <formula>"堵塞"</formula>
    </cfRule>
  </conditionalFormatting>
  <conditionalFormatting sqref="F2:F10">
    <cfRule type="cellIs" dxfId="7" priority="32" operator="equal">
      <formula>"500/510/IVOC"</formula>
    </cfRule>
    <cfRule type="cellIs" dxfId="6" priority="31" operator="equal">
      <formula>"500/510"</formula>
    </cfRule>
    <cfRule type="cellIs" dxfId="5" priority="30" operator="equal">
      <formula>"IVOC"</formula>
    </cfRule>
    <cfRule type="cellIs" dxfId="4" priority="29" operator="equal">
      <formula>"是"</formula>
    </cfRule>
    <cfRule type="cellIs" dxfId="3" priority="28" operator="equal">
      <formula>"否"</formula>
    </cfRule>
    <cfRule type="cellIs" dxfId="2" priority="27" operator="equal">
      <formula>"是"</formula>
    </cfRule>
    <cfRule type="cellIs" dxfId="1" priority="26" operator="equal">
      <formula>"新增"</formula>
    </cfRule>
    <cfRule type="cellIs" dxfId="1" priority="25" operator="equal">
      <formula>"是"</formula>
    </cfRule>
  </conditionalFormatting>
  <conditionalFormatting sqref="C1 C11:C1048576">
    <cfRule type="cellIs" dxfId="9" priority="7884" operator="equal">
      <formula>"3级"</formula>
    </cfRule>
    <cfRule type="cellIs" dxfId="2" priority="7886" operator="equal">
      <formula>"2级"</formula>
    </cfRule>
    <cfRule type="cellIs" dxfId="10" priority="7888" operator="equal">
      <formula>"1级"</formula>
    </cfRule>
  </conditionalFormatting>
  <conditionalFormatting sqref="L1:L2 L11:L1048576">
    <cfRule type="cellIs" dxfId="0" priority="7921" operator="equal">
      <formula>"不通过"</formula>
    </cfRule>
    <cfRule type="cellIs" dxfId="1" priority="7922" operator="equal">
      <formula>"通过"</formula>
    </cfRule>
  </conditionalFormatting>
  <conditionalFormatting sqref="L2 L11:L1048576">
    <cfRule type="cellIs" dxfId="8" priority="7920" operator="equal">
      <formula>"堵塞"</formula>
    </cfRule>
  </conditionalFormatting>
  <dataValidations count="5">
    <dataValidation type="list" allowBlank="1" showInputMessage="1" showErrorMessage="1" sqref="L1">
      <formula1>"通过,不通过"</formula1>
    </dataValidation>
    <dataValidation type="list" allowBlank="1" showInputMessage="1" showErrorMessage="1" sqref="C2:C1048576">
      <formula1>"1级,2级,3级"</formula1>
    </dataValidation>
    <dataValidation type="list" allowBlank="1" showInputMessage="1" showErrorMessage="1" sqref="E2:E10">
      <formula1>"新增,优化,更新,废弃,初始"</formula1>
    </dataValidation>
    <dataValidation type="list" allowBlank="1" showInputMessage="1" showErrorMessage="1" sqref="F2:F10">
      <formula1>"是,否"</formula1>
    </dataValidation>
    <dataValidation type="list" allowBlank="1" showInputMessage="1" showErrorMessage="1" sqref="L2:L1048576">
      <formula1>"通过,不通过,堵塞"</formula1>
    </dataValidation>
  </dataValidations>
  <hyperlinks>
    <hyperlink ref="P1" location="总目录!A1" display="返回总目录"/>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
  <sheetViews>
    <sheetView topLeftCell="F1" workbookViewId="0">
      <pane ySplit="1" topLeftCell="A2" activePane="bottomLeft" state="frozen"/>
      <selection/>
      <selection pane="bottomLeft" activeCell="L3" sqref="L3:N11"/>
    </sheetView>
  </sheetViews>
  <sheetFormatPr defaultColWidth="9" defaultRowHeight="14.25"/>
  <cols>
    <col min="1" max="1" width="9" style="25"/>
    <col min="2" max="2" width="15.875" style="26" customWidth="1"/>
    <col min="3" max="3" width="9.5" style="26" customWidth="1"/>
    <col min="4" max="6" width="10" style="26" customWidth="1"/>
    <col min="7" max="7" width="18.75" style="26" customWidth="1"/>
    <col min="8" max="8" width="32" style="25" customWidth="1"/>
    <col min="9" max="9" width="22.625" style="27" customWidth="1"/>
    <col min="10" max="10" width="41.75" style="27" customWidth="1"/>
    <col min="11" max="11" width="47" style="25" customWidth="1"/>
    <col min="12" max="12" width="10.75" style="26" customWidth="1"/>
    <col min="13" max="13" width="11.625" style="25" customWidth="1"/>
    <col min="14" max="14" width="9" style="25"/>
    <col min="15" max="15" width="19.375" style="25" customWidth="1"/>
    <col min="16" max="16384" width="9" style="25"/>
  </cols>
  <sheetData>
    <row r="1" ht="28.5" spans="1:16">
      <c r="A1" s="1" t="s">
        <v>17</v>
      </c>
      <c r="B1" s="2" t="s">
        <v>18</v>
      </c>
      <c r="C1" s="2" t="s">
        <v>19</v>
      </c>
      <c r="D1" s="2" t="s">
        <v>20</v>
      </c>
      <c r="E1" s="3" t="s">
        <v>21</v>
      </c>
      <c r="F1" s="3" t="s">
        <v>22</v>
      </c>
      <c r="G1" s="2" t="s">
        <v>23</v>
      </c>
      <c r="H1" s="2" t="s">
        <v>24</v>
      </c>
      <c r="I1" s="2" t="s">
        <v>25</v>
      </c>
      <c r="J1" s="2" t="s">
        <v>26</v>
      </c>
      <c r="K1" s="2" t="s">
        <v>27</v>
      </c>
      <c r="L1" s="2" t="s">
        <v>28</v>
      </c>
      <c r="M1" s="7" t="s">
        <v>29</v>
      </c>
      <c r="N1" s="7" t="s">
        <v>30</v>
      </c>
      <c r="O1" s="7" t="s">
        <v>31</v>
      </c>
      <c r="P1" s="29" t="s">
        <v>32</v>
      </c>
    </row>
    <row r="2" ht="54" spans="1:15">
      <c r="A2" s="4" t="s">
        <v>668</v>
      </c>
      <c r="B2" s="28" t="s">
        <v>669</v>
      </c>
      <c r="C2" s="6" t="s">
        <v>35</v>
      </c>
      <c r="D2" s="6" t="s">
        <v>36</v>
      </c>
      <c r="E2" s="7" t="s">
        <v>37</v>
      </c>
      <c r="F2" s="7" t="s">
        <v>38</v>
      </c>
      <c r="G2" s="8" t="str">
        <f t="shared" ref="G2:G11" si="0">"NMS_3.3.2.1_"&amp;ROW()-1</f>
        <v>NMS_3.3.2.1_1</v>
      </c>
      <c r="H2" s="9" t="s">
        <v>670</v>
      </c>
      <c r="I2" s="8" t="s">
        <v>640</v>
      </c>
      <c r="J2" s="21" t="s">
        <v>341</v>
      </c>
      <c r="K2" s="22" t="s">
        <v>671</v>
      </c>
      <c r="L2" s="6" t="s">
        <v>43</v>
      </c>
      <c r="M2" s="23">
        <v>45842</v>
      </c>
      <c r="N2" s="7" t="s">
        <v>44</v>
      </c>
      <c r="O2" s="1"/>
    </row>
    <row r="3" ht="54" spans="1:15">
      <c r="A3" s="10"/>
      <c r="B3" s="28" t="s">
        <v>672</v>
      </c>
      <c r="C3" s="6" t="s">
        <v>35</v>
      </c>
      <c r="D3" s="6" t="s">
        <v>36</v>
      </c>
      <c r="E3" s="7" t="s">
        <v>37</v>
      </c>
      <c r="F3" s="7" t="s">
        <v>38</v>
      </c>
      <c r="G3" s="8" t="str">
        <f t="shared" si="0"/>
        <v>NMS_3.3.2.1_2</v>
      </c>
      <c r="H3" s="9" t="s">
        <v>673</v>
      </c>
      <c r="I3" s="8" t="s">
        <v>640</v>
      </c>
      <c r="J3" s="21" t="s">
        <v>674</v>
      </c>
      <c r="K3" s="22" t="s">
        <v>675</v>
      </c>
      <c r="L3" s="6" t="s">
        <v>43</v>
      </c>
      <c r="M3" s="23">
        <v>45842</v>
      </c>
      <c r="N3" s="7" t="s">
        <v>44</v>
      </c>
      <c r="O3" s="1"/>
    </row>
    <row r="4" ht="54" spans="1:15">
      <c r="A4" s="10"/>
      <c r="B4" s="28" t="s">
        <v>676</v>
      </c>
      <c r="C4" s="6" t="s">
        <v>35</v>
      </c>
      <c r="D4" s="6" t="s">
        <v>36</v>
      </c>
      <c r="E4" s="7" t="s">
        <v>37</v>
      </c>
      <c r="F4" s="7" t="s">
        <v>38</v>
      </c>
      <c r="G4" s="8" t="str">
        <f t="shared" si="0"/>
        <v>NMS_3.3.2.1_3</v>
      </c>
      <c r="H4" s="9" t="s">
        <v>677</v>
      </c>
      <c r="I4" s="8" t="s">
        <v>640</v>
      </c>
      <c r="J4" s="21" t="s">
        <v>678</v>
      </c>
      <c r="K4" s="22" t="s">
        <v>679</v>
      </c>
      <c r="L4" s="6" t="s">
        <v>43</v>
      </c>
      <c r="M4" s="23">
        <v>45842</v>
      </c>
      <c r="N4" s="7" t="s">
        <v>44</v>
      </c>
      <c r="O4" s="1"/>
    </row>
    <row r="5" ht="54" spans="1:15">
      <c r="A5" s="10"/>
      <c r="B5" s="28" t="s">
        <v>680</v>
      </c>
      <c r="C5" s="6" t="s">
        <v>35</v>
      </c>
      <c r="D5" s="6" t="s">
        <v>36</v>
      </c>
      <c r="E5" s="7" t="s">
        <v>37</v>
      </c>
      <c r="F5" s="7" t="s">
        <v>38</v>
      </c>
      <c r="G5" s="8" t="str">
        <f t="shared" si="0"/>
        <v>NMS_3.3.2.1_4</v>
      </c>
      <c r="H5" s="9" t="s">
        <v>681</v>
      </c>
      <c r="I5" s="8" t="s">
        <v>640</v>
      </c>
      <c r="J5" s="21" t="s">
        <v>341</v>
      </c>
      <c r="K5" s="22" t="s">
        <v>682</v>
      </c>
      <c r="L5" s="6" t="s">
        <v>43</v>
      </c>
      <c r="M5" s="23">
        <v>45842</v>
      </c>
      <c r="N5" s="7" t="s">
        <v>44</v>
      </c>
      <c r="O5" s="1"/>
    </row>
    <row r="6" ht="54" spans="1:15">
      <c r="A6" s="10"/>
      <c r="B6" s="28" t="s">
        <v>683</v>
      </c>
      <c r="C6" s="6" t="s">
        <v>35</v>
      </c>
      <c r="D6" s="6" t="s">
        <v>36</v>
      </c>
      <c r="E6" s="7" t="s">
        <v>37</v>
      </c>
      <c r="F6" s="7" t="s">
        <v>38</v>
      </c>
      <c r="G6" s="8" t="str">
        <f t="shared" si="0"/>
        <v>NMS_3.3.2.1_5</v>
      </c>
      <c r="H6" s="9" t="s">
        <v>684</v>
      </c>
      <c r="I6" s="8" t="s">
        <v>640</v>
      </c>
      <c r="J6" s="21" t="s">
        <v>678</v>
      </c>
      <c r="K6" s="22" t="s">
        <v>685</v>
      </c>
      <c r="L6" s="6" t="s">
        <v>43</v>
      </c>
      <c r="M6" s="23">
        <v>45842</v>
      </c>
      <c r="N6" s="7" t="s">
        <v>44</v>
      </c>
      <c r="O6" s="1"/>
    </row>
    <row r="7" ht="54" spans="1:15">
      <c r="A7" s="10"/>
      <c r="B7" s="28" t="s">
        <v>686</v>
      </c>
      <c r="C7" s="6" t="s">
        <v>35</v>
      </c>
      <c r="D7" s="6" t="s">
        <v>36</v>
      </c>
      <c r="E7" s="7" t="s">
        <v>37</v>
      </c>
      <c r="F7" s="7" t="s">
        <v>38</v>
      </c>
      <c r="G7" s="8" t="str">
        <f t="shared" si="0"/>
        <v>NMS_3.3.2.1_6</v>
      </c>
      <c r="H7" s="9" t="s">
        <v>687</v>
      </c>
      <c r="I7" s="8" t="s">
        <v>640</v>
      </c>
      <c r="J7" s="21" t="s">
        <v>678</v>
      </c>
      <c r="K7" s="22" t="s">
        <v>688</v>
      </c>
      <c r="L7" s="6" t="s">
        <v>43</v>
      </c>
      <c r="M7" s="23">
        <v>45842</v>
      </c>
      <c r="N7" s="7" t="s">
        <v>44</v>
      </c>
      <c r="O7" s="1"/>
    </row>
    <row r="8" ht="57" spans="1:15">
      <c r="A8" s="10"/>
      <c r="B8" s="8" t="s">
        <v>689</v>
      </c>
      <c r="C8" s="6" t="s">
        <v>35</v>
      </c>
      <c r="D8" s="6" t="s">
        <v>36</v>
      </c>
      <c r="E8" s="7" t="s">
        <v>37</v>
      </c>
      <c r="F8" s="7" t="s">
        <v>38</v>
      </c>
      <c r="G8" s="8" t="str">
        <f t="shared" si="0"/>
        <v>NMS_3.3.2.1_7</v>
      </c>
      <c r="H8" s="9" t="s">
        <v>690</v>
      </c>
      <c r="I8" s="8" t="s">
        <v>640</v>
      </c>
      <c r="J8" s="21" t="s">
        <v>341</v>
      </c>
      <c r="K8" s="22" t="s">
        <v>691</v>
      </c>
      <c r="L8" s="6" t="s">
        <v>43</v>
      </c>
      <c r="M8" s="23">
        <v>45842</v>
      </c>
      <c r="N8" s="7" t="s">
        <v>44</v>
      </c>
      <c r="O8" s="1"/>
    </row>
    <row r="9" ht="57" spans="1:15">
      <c r="A9" s="10"/>
      <c r="B9" s="8" t="s">
        <v>692</v>
      </c>
      <c r="C9" s="6" t="s">
        <v>35</v>
      </c>
      <c r="D9" s="6" t="s">
        <v>36</v>
      </c>
      <c r="E9" s="7" t="s">
        <v>37</v>
      </c>
      <c r="F9" s="7" t="s">
        <v>38</v>
      </c>
      <c r="G9" s="8" t="str">
        <f t="shared" si="0"/>
        <v>NMS_3.3.2.1_8</v>
      </c>
      <c r="H9" s="9" t="s">
        <v>693</v>
      </c>
      <c r="I9" s="8" t="s">
        <v>640</v>
      </c>
      <c r="J9" s="21" t="s">
        <v>341</v>
      </c>
      <c r="K9" s="22" t="s">
        <v>694</v>
      </c>
      <c r="L9" s="6" t="s">
        <v>43</v>
      </c>
      <c r="M9" s="23">
        <v>45842</v>
      </c>
      <c r="N9" s="7" t="s">
        <v>44</v>
      </c>
      <c r="O9" s="1"/>
    </row>
    <row r="10" ht="54" spans="1:15">
      <c r="A10" s="10"/>
      <c r="B10" s="28" t="s">
        <v>695</v>
      </c>
      <c r="C10" s="6" t="s">
        <v>35</v>
      </c>
      <c r="D10" s="6" t="s">
        <v>36</v>
      </c>
      <c r="E10" s="7" t="s">
        <v>37</v>
      </c>
      <c r="F10" s="7" t="s">
        <v>38</v>
      </c>
      <c r="G10" s="8" t="str">
        <f t="shared" si="0"/>
        <v>NMS_3.3.2.1_9</v>
      </c>
      <c r="H10" s="9" t="s">
        <v>696</v>
      </c>
      <c r="I10" s="8" t="s">
        <v>640</v>
      </c>
      <c r="J10" s="21" t="s">
        <v>697</v>
      </c>
      <c r="K10" s="22" t="s">
        <v>698</v>
      </c>
      <c r="L10" s="6" t="s">
        <v>43</v>
      </c>
      <c r="M10" s="23">
        <v>45842</v>
      </c>
      <c r="N10" s="7" t="s">
        <v>44</v>
      </c>
      <c r="O10" s="1"/>
    </row>
    <row r="11" ht="54" spans="1:15">
      <c r="A11" s="16"/>
      <c r="B11" s="28" t="s">
        <v>699</v>
      </c>
      <c r="C11" s="6" t="s">
        <v>35</v>
      </c>
      <c r="D11" s="6" t="s">
        <v>36</v>
      </c>
      <c r="E11" s="7" t="s">
        <v>37</v>
      </c>
      <c r="F11" s="7" t="s">
        <v>38</v>
      </c>
      <c r="G11" s="8" t="str">
        <f t="shared" si="0"/>
        <v>NMS_3.3.2.1_10</v>
      </c>
      <c r="H11" s="9" t="s">
        <v>700</v>
      </c>
      <c r="I11" s="8" t="s">
        <v>640</v>
      </c>
      <c r="J11" s="21" t="s">
        <v>697</v>
      </c>
      <c r="K11" s="22" t="s">
        <v>701</v>
      </c>
      <c r="L11" s="6" t="s">
        <v>43</v>
      </c>
      <c r="M11" s="23">
        <v>45842</v>
      </c>
      <c r="N11" s="7" t="s">
        <v>44</v>
      </c>
      <c r="O11" s="1"/>
    </row>
  </sheetData>
  <autoFilter xmlns:etc="http://www.wps.cn/officeDocument/2017/etCustomData" ref="M1:M11" etc:filterBottomFollowUsedRange="0">
    <extLst/>
  </autoFilter>
  <mergeCells count="1">
    <mergeCell ref="A2:A11"/>
  </mergeCells>
  <conditionalFormatting sqref="C2">
    <cfRule type="cellIs" dxfId="9" priority="559" operator="equal">
      <formula>"3级"</formula>
    </cfRule>
    <cfRule type="cellIs" dxfId="2" priority="561" operator="equal">
      <formula>"2级"</formula>
    </cfRule>
    <cfRule type="cellIs" dxfId="10" priority="563" operator="equal">
      <formula>"1级"</formula>
    </cfRule>
  </conditionalFormatting>
  <conditionalFormatting sqref="E2">
    <cfRule type="cellIs" dxfId="1" priority="531" operator="equal">
      <formula>"新增"</formula>
    </cfRule>
    <cfRule type="cellIs" dxfId="11" priority="545" operator="equal">
      <formula>"废弃"</formula>
    </cfRule>
    <cfRule type="cellIs" dxfId="12" priority="547" operator="equal">
      <formula>"更新"</formula>
    </cfRule>
    <cfRule type="cellIs" dxfId="13" priority="549" operator="equal">
      <formula>"优化"</formula>
    </cfRule>
    <cfRule type="cellIs" dxfId="2" priority="551" operator="equal">
      <formula>"新增"</formula>
    </cfRule>
    <cfRule type="cellIs" dxfId="5" priority="553" operator="equal">
      <formula>"IVOC"</formula>
    </cfRule>
    <cfRule type="cellIs" dxfId="6" priority="555" operator="equal">
      <formula>"500/510"</formula>
    </cfRule>
    <cfRule type="cellIs" dxfId="7" priority="557" operator="equal">
      <formula>"500/510/IVOC"</formula>
    </cfRule>
  </conditionalFormatting>
  <conditionalFormatting sqref="L2">
    <cfRule type="cellIs" dxfId="8" priority="22" operator="equal">
      <formula>"堵塞"</formula>
    </cfRule>
    <cfRule type="cellIs" dxfId="0" priority="23" operator="equal">
      <formula>"不通过"</formula>
    </cfRule>
    <cfRule type="cellIs" dxfId="1" priority="24" operator="equal">
      <formula>"通过"</formula>
    </cfRule>
  </conditionalFormatting>
  <conditionalFormatting sqref="C3">
    <cfRule type="cellIs" dxfId="9" priority="505" operator="equal">
      <formula>"3级"</formula>
    </cfRule>
    <cfRule type="cellIs" dxfId="2" priority="507" operator="equal">
      <formula>"2级"</formula>
    </cfRule>
    <cfRule type="cellIs" dxfId="10" priority="509" operator="equal">
      <formula>"1级"</formula>
    </cfRule>
  </conditionalFormatting>
  <conditionalFormatting sqref="E3">
    <cfRule type="cellIs" dxfId="1" priority="477" operator="equal">
      <formula>"新增"</formula>
    </cfRule>
    <cfRule type="cellIs" dxfId="11" priority="491" operator="equal">
      <formula>"废弃"</formula>
    </cfRule>
    <cfRule type="cellIs" dxfId="12" priority="493" operator="equal">
      <formula>"更新"</formula>
    </cfRule>
    <cfRule type="cellIs" dxfId="13" priority="495" operator="equal">
      <formula>"优化"</formula>
    </cfRule>
    <cfRule type="cellIs" dxfId="2" priority="497" operator="equal">
      <formula>"新增"</formula>
    </cfRule>
    <cfRule type="cellIs" dxfId="5" priority="499" operator="equal">
      <formula>"IVOC"</formula>
    </cfRule>
    <cfRule type="cellIs" dxfId="6" priority="501" operator="equal">
      <formula>"500/510"</formula>
    </cfRule>
    <cfRule type="cellIs" dxfId="7" priority="503" operator="equal">
      <formula>"500/510/IVOC"</formula>
    </cfRule>
  </conditionalFormatting>
  <conditionalFormatting sqref="L3">
    <cfRule type="cellIs" dxfId="8" priority="28" operator="equal">
      <formula>"堵塞"</formula>
    </cfRule>
    <cfRule type="cellIs" dxfId="0" priority="29" operator="equal">
      <formula>"不通过"</formula>
    </cfRule>
    <cfRule type="cellIs" dxfId="1" priority="30" operator="equal">
      <formula>"通过"</formula>
    </cfRule>
  </conditionalFormatting>
  <conditionalFormatting sqref="C4">
    <cfRule type="cellIs" dxfId="9" priority="451" operator="equal">
      <formula>"3级"</formula>
    </cfRule>
    <cfRule type="cellIs" dxfId="2" priority="453" operator="equal">
      <formula>"2级"</formula>
    </cfRule>
    <cfRule type="cellIs" dxfId="10" priority="455" operator="equal">
      <formula>"1级"</formula>
    </cfRule>
  </conditionalFormatting>
  <conditionalFormatting sqref="E4">
    <cfRule type="cellIs" dxfId="1" priority="423" operator="equal">
      <formula>"新增"</formula>
    </cfRule>
    <cfRule type="cellIs" dxfId="11" priority="437" operator="equal">
      <formula>"废弃"</formula>
    </cfRule>
    <cfRule type="cellIs" dxfId="12" priority="439" operator="equal">
      <formula>"更新"</formula>
    </cfRule>
    <cfRule type="cellIs" dxfId="13" priority="441" operator="equal">
      <formula>"优化"</formula>
    </cfRule>
    <cfRule type="cellIs" dxfId="2" priority="443" operator="equal">
      <formula>"新增"</formula>
    </cfRule>
    <cfRule type="cellIs" dxfId="5" priority="445" operator="equal">
      <formula>"IVOC"</formula>
    </cfRule>
    <cfRule type="cellIs" dxfId="6" priority="447" operator="equal">
      <formula>"500/510"</formula>
    </cfRule>
    <cfRule type="cellIs" dxfId="7" priority="449" operator="equal">
      <formula>"500/510/IVOC"</formula>
    </cfRule>
  </conditionalFormatting>
  <conditionalFormatting sqref="L4">
    <cfRule type="cellIs" dxfId="8" priority="25" operator="equal">
      <formula>"堵塞"</formula>
    </cfRule>
    <cfRule type="cellIs" dxfId="0" priority="26" operator="equal">
      <formula>"不通过"</formula>
    </cfRule>
    <cfRule type="cellIs" dxfId="1" priority="27" operator="equal">
      <formula>"通过"</formula>
    </cfRule>
  </conditionalFormatting>
  <conditionalFormatting sqref="C5">
    <cfRule type="cellIs" dxfId="9" priority="397" operator="equal">
      <formula>"3级"</formula>
    </cfRule>
    <cfRule type="cellIs" dxfId="2" priority="399" operator="equal">
      <formula>"2级"</formula>
    </cfRule>
    <cfRule type="cellIs" dxfId="10" priority="401" operator="equal">
      <formula>"1级"</formula>
    </cfRule>
  </conditionalFormatting>
  <conditionalFormatting sqref="E5">
    <cfRule type="cellIs" dxfId="1" priority="369" operator="equal">
      <formula>"新增"</formula>
    </cfRule>
    <cfRule type="cellIs" dxfId="11" priority="383" operator="equal">
      <formula>"废弃"</formula>
    </cfRule>
    <cfRule type="cellIs" dxfId="12" priority="385" operator="equal">
      <formula>"更新"</formula>
    </cfRule>
    <cfRule type="cellIs" dxfId="13" priority="387" operator="equal">
      <formula>"优化"</formula>
    </cfRule>
    <cfRule type="cellIs" dxfId="2" priority="389" operator="equal">
      <formula>"新增"</formula>
    </cfRule>
    <cfRule type="cellIs" dxfId="5" priority="391" operator="equal">
      <formula>"IVOC"</formula>
    </cfRule>
    <cfRule type="cellIs" dxfId="6" priority="393" operator="equal">
      <formula>"500/510"</formula>
    </cfRule>
    <cfRule type="cellIs" dxfId="7" priority="395" operator="equal">
      <formula>"500/510/IVOC"</formula>
    </cfRule>
  </conditionalFormatting>
  <conditionalFormatting sqref="L5">
    <cfRule type="cellIs" dxfId="8" priority="19" operator="equal">
      <formula>"堵塞"</formula>
    </cfRule>
    <cfRule type="cellIs" dxfId="0" priority="20" operator="equal">
      <formula>"不通过"</formula>
    </cfRule>
    <cfRule type="cellIs" dxfId="1" priority="21" operator="equal">
      <formula>"通过"</formula>
    </cfRule>
  </conditionalFormatting>
  <conditionalFormatting sqref="C6">
    <cfRule type="cellIs" dxfId="9" priority="343" operator="equal">
      <formula>"3级"</formula>
    </cfRule>
    <cfRule type="cellIs" dxfId="2" priority="345" operator="equal">
      <formula>"2级"</formula>
    </cfRule>
    <cfRule type="cellIs" dxfId="10" priority="347" operator="equal">
      <formula>"1级"</formula>
    </cfRule>
  </conditionalFormatting>
  <conditionalFormatting sqref="E6">
    <cfRule type="cellIs" dxfId="1" priority="315" operator="equal">
      <formula>"新增"</formula>
    </cfRule>
    <cfRule type="cellIs" dxfId="11" priority="329" operator="equal">
      <formula>"废弃"</formula>
    </cfRule>
    <cfRule type="cellIs" dxfId="12" priority="331" operator="equal">
      <formula>"更新"</formula>
    </cfRule>
    <cfRule type="cellIs" dxfId="13" priority="333" operator="equal">
      <formula>"优化"</formula>
    </cfRule>
    <cfRule type="cellIs" dxfId="2" priority="335" operator="equal">
      <formula>"新增"</formula>
    </cfRule>
    <cfRule type="cellIs" dxfId="5" priority="337" operator="equal">
      <formula>"IVOC"</formula>
    </cfRule>
    <cfRule type="cellIs" dxfId="6" priority="339" operator="equal">
      <formula>"500/510"</formula>
    </cfRule>
    <cfRule type="cellIs" dxfId="7" priority="341" operator="equal">
      <formula>"500/510/IVOC"</formula>
    </cfRule>
  </conditionalFormatting>
  <conditionalFormatting sqref="L6">
    <cfRule type="cellIs" dxfId="8" priority="16" operator="equal">
      <formula>"堵塞"</formula>
    </cfRule>
    <cfRule type="cellIs" dxfId="0" priority="17" operator="equal">
      <formula>"不通过"</formula>
    </cfRule>
    <cfRule type="cellIs" dxfId="1" priority="18" operator="equal">
      <formula>"通过"</formula>
    </cfRule>
  </conditionalFormatting>
  <conditionalFormatting sqref="C7">
    <cfRule type="cellIs" dxfId="9" priority="289" operator="equal">
      <formula>"3级"</formula>
    </cfRule>
    <cfRule type="cellIs" dxfId="2" priority="291" operator="equal">
      <formula>"2级"</formula>
    </cfRule>
    <cfRule type="cellIs" dxfId="10" priority="293" operator="equal">
      <formula>"1级"</formula>
    </cfRule>
  </conditionalFormatting>
  <conditionalFormatting sqref="E7">
    <cfRule type="cellIs" dxfId="1" priority="261" operator="equal">
      <formula>"新增"</formula>
    </cfRule>
    <cfRule type="cellIs" dxfId="11" priority="275" operator="equal">
      <formula>"废弃"</formula>
    </cfRule>
    <cfRule type="cellIs" dxfId="12" priority="277" operator="equal">
      <formula>"更新"</formula>
    </cfRule>
    <cfRule type="cellIs" dxfId="13" priority="279" operator="equal">
      <formula>"优化"</formula>
    </cfRule>
    <cfRule type="cellIs" dxfId="2" priority="281" operator="equal">
      <formula>"新增"</formula>
    </cfRule>
    <cfRule type="cellIs" dxfId="5" priority="283" operator="equal">
      <formula>"IVOC"</formula>
    </cfRule>
    <cfRule type="cellIs" dxfId="6" priority="285" operator="equal">
      <formula>"500/510"</formula>
    </cfRule>
    <cfRule type="cellIs" dxfId="7" priority="287" operator="equal">
      <formula>"500/510/IVOC"</formula>
    </cfRule>
  </conditionalFormatting>
  <conditionalFormatting sqref="L7">
    <cfRule type="cellIs" dxfId="8" priority="13" operator="equal">
      <formula>"堵塞"</formula>
    </cfRule>
    <cfRule type="cellIs" dxfId="0" priority="14" operator="equal">
      <formula>"不通过"</formula>
    </cfRule>
    <cfRule type="cellIs" dxfId="1" priority="15" operator="equal">
      <formula>"通过"</formula>
    </cfRule>
  </conditionalFormatting>
  <conditionalFormatting sqref="C8">
    <cfRule type="cellIs" dxfId="9" priority="235" operator="equal">
      <formula>"3级"</formula>
    </cfRule>
    <cfRule type="cellIs" dxfId="2" priority="237" operator="equal">
      <formula>"2级"</formula>
    </cfRule>
    <cfRule type="cellIs" dxfId="10" priority="239" operator="equal">
      <formula>"1级"</formula>
    </cfRule>
  </conditionalFormatting>
  <conditionalFormatting sqref="E8">
    <cfRule type="cellIs" dxfId="1" priority="207" operator="equal">
      <formula>"新增"</formula>
    </cfRule>
    <cfRule type="cellIs" dxfId="11" priority="221" operator="equal">
      <formula>"废弃"</formula>
    </cfRule>
    <cfRule type="cellIs" dxfId="12" priority="223" operator="equal">
      <formula>"更新"</formula>
    </cfRule>
    <cfRule type="cellIs" dxfId="13" priority="225" operator="equal">
      <formula>"优化"</formula>
    </cfRule>
    <cfRule type="cellIs" dxfId="2" priority="227" operator="equal">
      <formula>"新增"</formula>
    </cfRule>
    <cfRule type="cellIs" dxfId="5" priority="229" operator="equal">
      <formula>"IVOC"</formula>
    </cfRule>
    <cfRule type="cellIs" dxfId="6" priority="231" operator="equal">
      <formula>"500/510"</formula>
    </cfRule>
    <cfRule type="cellIs" dxfId="7" priority="233" operator="equal">
      <formula>"500/510/IVOC"</formula>
    </cfRule>
  </conditionalFormatting>
  <conditionalFormatting sqref="L8">
    <cfRule type="cellIs" dxfId="8" priority="10" operator="equal">
      <formula>"堵塞"</formula>
    </cfRule>
    <cfRule type="cellIs" dxfId="0" priority="11" operator="equal">
      <formula>"不通过"</formula>
    </cfRule>
    <cfRule type="cellIs" dxfId="1" priority="12" operator="equal">
      <formula>"通过"</formula>
    </cfRule>
  </conditionalFormatting>
  <conditionalFormatting sqref="C9">
    <cfRule type="cellIs" dxfId="9" priority="181" operator="equal">
      <formula>"3级"</formula>
    </cfRule>
    <cfRule type="cellIs" dxfId="2" priority="183" operator="equal">
      <formula>"2级"</formula>
    </cfRule>
    <cfRule type="cellIs" dxfId="10" priority="185" operator="equal">
      <formula>"1级"</formula>
    </cfRule>
  </conditionalFormatting>
  <conditionalFormatting sqref="E9">
    <cfRule type="cellIs" dxfId="1" priority="153" operator="equal">
      <formula>"新增"</formula>
    </cfRule>
    <cfRule type="cellIs" dxfId="11" priority="167" operator="equal">
      <formula>"废弃"</formula>
    </cfRule>
    <cfRule type="cellIs" dxfId="12" priority="169" operator="equal">
      <formula>"更新"</formula>
    </cfRule>
    <cfRule type="cellIs" dxfId="13" priority="171" operator="equal">
      <formula>"优化"</formula>
    </cfRule>
    <cfRule type="cellIs" dxfId="2" priority="173" operator="equal">
      <formula>"新增"</formula>
    </cfRule>
    <cfRule type="cellIs" dxfId="5" priority="175" operator="equal">
      <formula>"IVOC"</formula>
    </cfRule>
    <cfRule type="cellIs" dxfId="6" priority="177" operator="equal">
      <formula>"500/510"</formula>
    </cfRule>
    <cfRule type="cellIs" dxfId="7" priority="179" operator="equal">
      <formula>"500/510/IVOC"</formula>
    </cfRule>
  </conditionalFormatting>
  <conditionalFormatting sqref="L9">
    <cfRule type="cellIs" dxfId="8" priority="7" operator="equal">
      <formula>"堵塞"</formula>
    </cfRule>
    <cfRule type="cellIs" dxfId="0" priority="8" operator="equal">
      <formula>"不通过"</formula>
    </cfRule>
    <cfRule type="cellIs" dxfId="1" priority="9" operator="equal">
      <formula>"通过"</formula>
    </cfRule>
  </conditionalFormatting>
  <conditionalFormatting sqref="C10">
    <cfRule type="cellIs" dxfId="9" priority="127" operator="equal">
      <formula>"3级"</formula>
    </cfRule>
    <cfRule type="cellIs" dxfId="2" priority="129" operator="equal">
      <formula>"2级"</formula>
    </cfRule>
    <cfRule type="cellIs" dxfId="10" priority="131" operator="equal">
      <formula>"1级"</formula>
    </cfRule>
  </conditionalFormatting>
  <conditionalFormatting sqref="E10">
    <cfRule type="cellIs" dxfId="1" priority="99" operator="equal">
      <formula>"新增"</formula>
    </cfRule>
    <cfRule type="cellIs" dxfId="11" priority="113" operator="equal">
      <formula>"废弃"</formula>
    </cfRule>
    <cfRule type="cellIs" dxfId="12" priority="115" operator="equal">
      <formula>"更新"</formula>
    </cfRule>
    <cfRule type="cellIs" dxfId="13" priority="117" operator="equal">
      <formula>"优化"</formula>
    </cfRule>
    <cfRule type="cellIs" dxfId="2" priority="119" operator="equal">
      <formula>"新增"</formula>
    </cfRule>
    <cfRule type="cellIs" dxfId="5" priority="121" operator="equal">
      <formula>"IVOC"</formula>
    </cfRule>
    <cfRule type="cellIs" dxfId="6" priority="123" operator="equal">
      <formula>"500/510"</formula>
    </cfRule>
    <cfRule type="cellIs" dxfId="7" priority="125" operator="equal">
      <formula>"500/510/IVOC"</formula>
    </cfRule>
  </conditionalFormatting>
  <conditionalFormatting sqref="L10">
    <cfRule type="cellIs" dxfId="8" priority="4" operator="equal">
      <formula>"堵塞"</formula>
    </cfRule>
    <cfRule type="cellIs" dxfId="0" priority="5" operator="equal">
      <formula>"不通过"</formula>
    </cfRule>
    <cfRule type="cellIs" dxfId="1" priority="6" operator="equal">
      <formula>"通过"</formula>
    </cfRule>
  </conditionalFormatting>
  <conditionalFormatting sqref="C11">
    <cfRule type="cellIs" dxfId="9" priority="73" operator="equal">
      <formula>"3级"</formula>
    </cfRule>
    <cfRule type="cellIs" dxfId="2" priority="75" operator="equal">
      <formula>"2级"</formula>
    </cfRule>
    <cfRule type="cellIs" dxfId="10" priority="77" operator="equal">
      <formula>"1级"</formula>
    </cfRule>
  </conditionalFormatting>
  <conditionalFormatting sqref="E11">
    <cfRule type="cellIs" dxfId="1" priority="45" operator="equal">
      <formula>"新增"</formula>
    </cfRule>
    <cfRule type="cellIs" dxfId="11" priority="59" operator="equal">
      <formula>"废弃"</formula>
    </cfRule>
    <cfRule type="cellIs" dxfId="12" priority="61" operator="equal">
      <formula>"更新"</formula>
    </cfRule>
    <cfRule type="cellIs" dxfId="13" priority="63" operator="equal">
      <formula>"优化"</formula>
    </cfRule>
    <cfRule type="cellIs" dxfId="2" priority="65" operator="equal">
      <formula>"新增"</formula>
    </cfRule>
    <cfRule type="cellIs" dxfId="5" priority="67" operator="equal">
      <formula>"IVOC"</formula>
    </cfRule>
    <cfRule type="cellIs" dxfId="6" priority="69" operator="equal">
      <formula>"500/510"</formula>
    </cfRule>
    <cfRule type="cellIs" dxfId="7" priority="71" operator="equal">
      <formula>"500/510/IVOC"</formula>
    </cfRule>
  </conditionalFormatting>
  <conditionalFormatting sqref="L11">
    <cfRule type="cellIs" dxfId="8" priority="1" operator="equal">
      <formula>"堵塞"</formula>
    </cfRule>
    <cfRule type="cellIs" dxfId="0" priority="2" operator="equal">
      <formula>"不通过"</formula>
    </cfRule>
    <cfRule type="cellIs" dxfId="1" priority="3" operator="equal">
      <formula>"通过"</formula>
    </cfRule>
  </conditionalFormatting>
  <conditionalFormatting sqref="F2:F11">
    <cfRule type="cellIs" dxfId="1" priority="34" operator="equal">
      <formula>"是"</formula>
    </cfRule>
    <cfRule type="cellIs" dxfId="1" priority="35" operator="equal">
      <formula>"新增"</formula>
    </cfRule>
    <cfRule type="cellIs" dxfId="2" priority="36" operator="equal">
      <formula>"是"</formula>
    </cfRule>
    <cfRule type="cellIs" dxfId="3" priority="37" operator="equal">
      <formula>"否"</formula>
    </cfRule>
    <cfRule type="cellIs" dxfId="4" priority="38" operator="equal">
      <formula>"是"</formula>
    </cfRule>
    <cfRule type="cellIs" dxfId="5" priority="39" operator="equal">
      <formula>"IVOC"</formula>
    </cfRule>
    <cfRule type="cellIs" dxfId="6" priority="40" operator="equal">
      <formula>"500/510"</formula>
    </cfRule>
    <cfRule type="cellIs" dxfId="7" priority="41" operator="equal">
      <formula>"500/510/IVOC"</formula>
    </cfRule>
  </conditionalFormatting>
  <conditionalFormatting sqref="L12:L1048576">
    <cfRule type="cellIs" dxfId="8" priority="4732" operator="equal">
      <formula>"堵塞"</formula>
    </cfRule>
  </conditionalFormatting>
  <conditionalFormatting sqref="C1 C12:C1048576">
    <cfRule type="cellIs" dxfId="9" priority="4735" operator="equal">
      <formula>"3级"</formula>
    </cfRule>
    <cfRule type="cellIs" dxfId="2" priority="4739" operator="equal">
      <formula>"2级"</formula>
    </cfRule>
    <cfRule type="cellIs" dxfId="10" priority="4743" operator="equal">
      <formula>"1级"</formula>
    </cfRule>
  </conditionalFormatting>
  <conditionalFormatting sqref="L1 L12:L1048576">
    <cfRule type="cellIs" dxfId="0" priority="4733" operator="equal">
      <formula>"不通过"</formula>
    </cfRule>
    <cfRule type="cellIs" dxfId="1" priority="4734" operator="equal">
      <formula>"通过"</formula>
    </cfRule>
  </conditionalFormatting>
  <dataValidations count="5">
    <dataValidation type="list" allowBlank="1" showInputMessage="1" showErrorMessage="1" sqref="L1">
      <formula1>"通过,不通过"</formula1>
    </dataValidation>
    <dataValidation type="list" allowBlank="1" showInputMessage="1" showErrorMessage="1" sqref="C2:C1048576">
      <formula1>"1级,2级,3级"</formula1>
    </dataValidation>
    <dataValidation type="list" allowBlank="1" showInputMessage="1" showErrorMessage="1" sqref="E2:E11">
      <formula1>"新增,优化,更新,废弃,初始"</formula1>
    </dataValidation>
    <dataValidation type="list" allowBlank="1" showInputMessage="1" showErrorMessage="1" sqref="F2:F11">
      <formula1>"是,否"</formula1>
    </dataValidation>
    <dataValidation type="list" allowBlank="1" showInputMessage="1" showErrorMessage="1" sqref="L2:L1048576">
      <formula1>"通过,不通过,堵塞"</formula1>
    </dataValidation>
  </dataValidations>
  <hyperlinks>
    <hyperlink ref="P1" location="总目录!A1" display="返回总目录"/>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6"/>
  <sheetViews>
    <sheetView topLeftCell="A32" workbookViewId="0">
      <selection activeCell="D40" sqref="D40"/>
    </sheetView>
  </sheetViews>
  <sheetFormatPr defaultColWidth="9" defaultRowHeight="14.25"/>
  <cols>
    <col min="1" max="1" width="17.25" customWidth="1"/>
    <col min="2" max="2" width="16" customWidth="1"/>
    <col min="7" max="7" width="14.875" customWidth="1"/>
    <col min="8" max="8" width="23.125" customWidth="1"/>
    <col min="9" max="9" width="22.25" customWidth="1"/>
    <col min="10" max="10" width="23.75" customWidth="1"/>
    <col min="11" max="11" width="34.25" customWidth="1"/>
    <col min="15" max="15" width="16.25" customWidth="1"/>
  </cols>
  <sheetData>
    <row r="1" ht="28.5" spans="1:16">
      <c r="A1" s="1" t="s">
        <v>17</v>
      </c>
      <c r="B1" s="2" t="s">
        <v>18</v>
      </c>
      <c r="C1" s="2" t="s">
        <v>19</v>
      </c>
      <c r="D1" s="2" t="s">
        <v>20</v>
      </c>
      <c r="E1" s="3" t="s">
        <v>21</v>
      </c>
      <c r="F1" s="3" t="s">
        <v>22</v>
      </c>
      <c r="G1" s="2" t="s">
        <v>23</v>
      </c>
      <c r="H1" s="2" t="s">
        <v>24</v>
      </c>
      <c r="I1" s="2" t="s">
        <v>25</v>
      </c>
      <c r="J1" s="2" t="s">
        <v>26</v>
      </c>
      <c r="K1" s="2" t="s">
        <v>27</v>
      </c>
      <c r="L1" s="2" t="s">
        <v>28</v>
      </c>
      <c r="M1" s="7" t="s">
        <v>29</v>
      </c>
      <c r="N1" s="7" t="s">
        <v>30</v>
      </c>
      <c r="O1" s="7" t="s">
        <v>31</v>
      </c>
      <c r="P1" s="20" t="s">
        <v>32</v>
      </c>
    </row>
    <row r="2" spans="1:15">
      <c r="A2" s="4" t="s">
        <v>702</v>
      </c>
      <c r="B2" s="5" t="s">
        <v>703</v>
      </c>
      <c r="C2" s="6" t="s">
        <v>35</v>
      </c>
      <c r="D2" s="6" t="s">
        <v>36</v>
      </c>
      <c r="E2" s="7" t="s">
        <v>37</v>
      </c>
      <c r="F2" s="7" t="s">
        <v>38</v>
      </c>
      <c r="G2" s="8" t="str">
        <f t="shared" ref="G2:G27" si="0">"AIM_3.3.2.1.1 _"&amp;ROW()-1</f>
        <v>AIM_3.3.2.1.1 _1</v>
      </c>
      <c r="H2" s="9" t="s">
        <v>704</v>
      </c>
      <c r="I2" s="8" t="s">
        <v>705</v>
      </c>
      <c r="J2" s="21" t="s">
        <v>706</v>
      </c>
      <c r="K2" s="22" t="s">
        <v>707</v>
      </c>
      <c r="L2" s="6" t="s">
        <v>43</v>
      </c>
      <c r="M2" s="23">
        <v>45842</v>
      </c>
      <c r="N2" s="7" t="s">
        <v>44</v>
      </c>
      <c r="O2" s="24"/>
    </row>
    <row r="3" spans="1:15">
      <c r="A3" s="10"/>
      <c r="B3" s="11"/>
      <c r="C3" s="6" t="s">
        <v>35</v>
      </c>
      <c r="D3" s="6" t="s">
        <v>36</v>
      </c>
      <c r="E3" s="7" t="s">
        <v>37</v>
      </c>
      <c r="F3" s="7" t="s">
        <v>38</v>
      </c>
      <c r="G3" s="8" t="str">
        <f t="shared" si="0"/>
        <v>AIM_3.3.2.1.1 _2</v>
      </c>
      <c r="H3" s="9" t="s">
        <v>708</v>
      </c>
      <c r="I3" s="8" t="s">
        <v>705</v>
      </c>
      <c r="J3" s="21" t="s">
        <v>709</v>
      </c>
      <c r="K3" s="22" t="s">
        <v>710</v>
      </c>
      <c r="L3" s="6" t="s">
        <v>43</v>
      </c>
      <c r="M3" s="23">
        <v>45842</v>
      </c>
      <c r="N3" s="7" t="s">
        <v>44</v>
      </c>
      <c r="O3" s="24"/>
    </row>
    <row r="4" spans="1:15">
      <c r="A4" s="10"/>
      <c r="B4" s="11"/>
      <c r="C4" s="6" t="s">
        <v>35</v>
      </c>
      <c r="D4" s="6" t="s">
        <v>36</v>
      </c>
      <c r="E4" s="7" t="s">
        <v>37</v>
      </c>
      <c r="F4" s="7" t="s">
        <v>38</v>
      </c>
      <c r="G4" s="8" t="str">
        <f t="shared" si="0"/>
        <v>AIM_3.3.2.1.1 _3</v>
      </c>
      <c r="H4" s="9" t="s">
        <v>711</v>
      </c>
      <c r="I4" s="8" t="s">
        <v>705</v>
      </c>
      <c r="J4" s="21" t="s">
        <v>712</v>
      </c>
      <c r="K4" s="22" t="s">
        <v>713</v>
      </c>
      <c r="L4" s="6" t="s">
        <v>43</v>
      </c>
      <c r="M4" s="23">
        <v>45842</v>
      </c>
      <c r="N4" s="7" t="s">
        <v>44</v>
      </c>
      <c r="O4" s="24"/>
    </row>
    <row r="5" spans="1:15">
      <c r="A5" s="10"/>
      <c r="B5" s="12"/>
      <c r="C5" s="6" t="s">
        <v>35</v>
      </c>
      <c r="D5" s="6" t="s">
        <v>36</v>
      </c>
      <c r="E5" s="7" t="s">
        <v>37</v>
      </c>
      <c r="F5" s="7" t="s">
        <v>38</v>
      </c>
      <c r="G5" s="8" t="str">
        <f t="shared" si="0"/>
        <v>AIM_3.3.2.1.1 _4</v>
      </c>
      <c r="H5" s="9" t="s">
        <v>714</v>
      </c>
      <c r="I5" s="8" t="s">
        <v>705</v>
      </c>
      <c r="J5" s="21" t="s">
        <v>715</v>
      </c>
      <c r="K5" s="22" t="s">
        <v>716</v>
      </c>
      <c r="L5" s="6" t="s">
        <v>43</v>
      </c>
      <c r="M5" s="23">
        <v>45842</v>
      </c>
      <c r="N5" s="7" t="s">
        <v>44</v>
      </c>
      <c r="O5" s="24"/>
    </row>
    <row r="6" spans="1:15">
      <c r="A6" s="10"/>
      <c r="B6" s="13" t="s">
        <v>717</v>
      </c>
      <c r="C6" s="6" t="s">
        <v>35</v>
      </c>
      <c r="D6" s="6" t="s">
        <v>36</v>
      </c>
      <c r="E6" s="7" t="s">
        <v>37</v>
      </c>
      <c r="F6" s="7" t="s">
        <v>38</v>
      </c>
      <c r="G6" s="8" t="str">
        <f t="shared" si="0"/>
        <v>AIM_3.3.2.1.1 _5</v>
      </c>
      <c r="H6" s="9" t="s">
        <v>704</v>
      </c>
      <c r="I6" s="8" t="s">
        <v>705</v>
      </c>
      <c r="J6" s="21" t="s">
        <v>706</v>
      </c>
      <c r="K6" s="22" t="s">
        <v>707</v>
      </c>
      <c r="L6" s="6" t="s">
        <v>43</v>
      </c>
      <c r="M6" s="23">
        <v>45842</v>
      </c>
      <c r="N6" s="7" t="s">
        <v>44</v>
      </c>
      <c r="O6" s="24"/>
    </row>
    <row r="7" spans="1:15">
      <c r="A7" s="10"/>
      <c r="B7" s="14"/>
      <c r="C7" s="6" t="s">
        <v>35</v>
      </c>
      <c r="D7" s="6" t="s">
        <v>36</v>
      </c>
      <c r="E7" s="7" t="s">
        <v>37</v>
      </c>
      <c r="F7" s="7" t="s">
        <v>38</v>
      </c>
      <c r="G7" s="8" t="str">
        <f t="shared" si="0"/>
        <v>AIM_3.3.2.1.1 _6</v>
      </c>
      <c r="H7" s="9" t="s">
        <v>708</v>
      </c>
      <c r="I7" s="8" t="s">
        <v>705</v>
      </c>
      <c r="J7" s="21" t="s">
        <v>709</v>
      </c>
      <c r="K7" s="22" t="s">
        <v>710</v>
      </c>
      <c r="L7" s="6" t="s">
        <v>43</v>
      </c>
      <c r="M7" s="23">
        <v>45842</v>
      </c>
      <c r="N7" s="7" t="s">
        <v>44</v>
      </c>
      <c r="O7" s="24"/>
    </row>
    <row r="8" spans="1:15">
      <c r="A8" s="10"/>
      <c r="B8" s="14"/>
      <c r="C8" s="6" t="s">
        <v>35</v>
      </c>
      <c r="D8" s="6" t="s">
        <v>36</v>
      </c>
      <c r="E8" s="7" t="s">
        <v>37</v>
      </c>
      <c r="F8" s="7" t="s">
        <v>38</v>
      </c>
      <c r="G8" s="8" t="str">
        <f t="shared" si="0"/>
        <v>AIM_3.3.2.1.1 _7</v>
      </c>
      <c r="H8" s="9" t="s">
        <v>711</v>
      </c>
      <c r="I8" s="8" t="s">
        <v>705</v>
      </c>
      <c r="J8" s="21" t="s">
        <v>712</v>
      </c>
      <c r="K8" s="22" t="s">
        <v>713</v>
      </c>
      <c r="L8" s="6" t="s">
        <v>43</v>
      </c>
      <c r="M8" s="23">
        <v>45842</v>
      </c>
      <c r="N8" s="7" t="s">
        <v>44</v>
      </c>
      <c r="O8" s="24"/>
    </row>
    <row r="9" spans="1:15">
      <c r="A9" s="10"/>
      <c r="B9" s="15"/>
      <c r="C9" s="6" t="s">
        <v>35</v>
      </c>
      <c r="D9" s="6" t="s">
        <v>36</v>
      </c>
      <c r="E9" s="7" t="s">
        <v>37</v>
      </c>
      <c r="F9" s="7" t="s">
        <v>38</v>
      </c>
      <c r="G9" s="8" t="str">
        <f t="shared" si="0"/>
        <v>AIM_3.3.2.1.1 _8</v>
      </c>
      <c r="H9" s="9" t="s">
        <v>714</v>
      </c>
      <c r="I9" s="8" t="s">
        <v>705</v>
      </c>
      <c r="J9" s="21" t="s">
        <v>715</v>
      </c>
      <c r="K9" s="22" t="s">
        <v>716</v>
      </c>
      <c r="L9" s="6" t="s">
        <v>43</v>
      </c>
      <c r="M9" s="23">
        <v>45842</v>
      </c>
      <c r="N9" s="7" t="s">
        <v>44</v>
      </c>
      <c r="O9" s="24"/>
    </row>
    <row r="10" spans="1:15">
      <c r="A10" s="10"/>
      <c r="B10" s="13" t="s">
        <v>718</v>
      </c>
      <c r="C10" s="6" t="s">
        <v>35</v>
      </c>
      <c r="D10" s="6" t="s">
        <v>36</v>
      </c>
      <c r="E10" s="7" t="s">
        <v>37</v>
      </c>
      <c r="F10" s="7" t="s">
        <v>38</v>
      </c>
      <c r="G10" s="8" t="str">
        <f t="shared" si="0"/>
        <v>AIM_3.3.2.1.1 _9</v>
      </c>
      <c r="H10" s="9" t="s">
        <v>704</v>
      </c>
      <c r="I10" s="8" t="s">
        <v>705</v>
      </c>
      <c r="J10" s="21" t="s">
        <v>706</v>
      </c>
      <c r="K10" s="22" t="s">
        <v>707</v>
      </c>
      <c r="L10" s="6" t="s">
        <v>43</v>
      </c>
      <c r="M10" s="23">
        <v>45842</v>
      </c>
      <c r="N10" s="7" t="s">
        <v>44</v>
      </c>
      <c r="O10" s="24"/>
    </row>
    <row r="11" spans="1:15">
      <c r="A11" s="10"/>
      <c r="B11" s="14"/>
      <c r="C11" s="6" t="s">
        <v>35</v>
      </c>
      <c r="D11" s="6" t="s">
        <v>36</v>
      </c>
      <c r="E11" s="7" t="s">
        <v>37</v>
      </c>
      <c r="F11" s="7" t="s">
        <v>38</v>
      </c>
      <c r="G11" s="8" t="str">
        <f t="shared" si="0"/>
        <v>AIM_3.3.2.1.1 _10</v>
      </c>
      <c r="H11" s="9" t="s">
        <v>708</v>
      </c>
      <c r="I11" s="8" t="s">
        <v>705</v>
      </c>
      <c r="J11" s="21" t="s">
        <v>709</v>
      </c>
      <c r="K11" s="22" t="s">
        <v>710</v>
      </c>
      <c r="L11" s="6" t="s">
        <v>43</v>
      </c>
      <c r="M11" s="23">
        <v>45842</v>
      </c>
      <c r="N11" s="7" t="s">
        <v>44</v>
      </c>
      <c r="O11" s="24"/>
    </row>
    <row r="12" spans="1:15">
      <c r="A12" s="10"/>
      <c r="B12" s="14"/>
      <c r="C12" s="6" t="s">
        <v>35</v>
      </c>
      <c r="D12" s="6" t="s">
        <v>36</v>
      </c>
      <c r="E12" s="7" t="s">
        <v>37</v>
      </c>
      <c r="F12" s="7" t="s">
        <v>38</v>
      </c>
      <c r="G12" s="8" t="str">
        <f t="shared" si="0"/>
        <v>AIM_3.3.2.1.1 _11</v>
      </c>
      <c r="H12" s="9" t="s">
        <v>711</v>
      </c>
      <c r="I12" s="8" t="s">
        <v>705</v>
      </c>
      <c r="J12" s="21" t="s">
        <v>712</v>
      </c>
      <c r="K12" s="22" t="s">
        <v>713</v>
      </c>
      <c r="L12" s="6" t="s">
        <v>43</v>
      </c>
      <c r="M12" s="23">
        <v>45842</v>
      </c>
      <c r="N12" s="7" t="s">
        <v>44</v>
      </c>
      <c r="O12" s="24"/>
    </row>
    <row r="13" spans="1:15">
      <c r="A13" s="10"/>
      <c r="B13" s="15"/>
      <c r="C13" s="6" t="s">
        <v>35</v>
      </c>
      <c r="D13" s="6" t="s">
        <v>36</v>
      </c>
      <c r="E13" s="7" t="s">
        <v>37</v>
      </c>
      <c r="F13" s="7" t="s">
        <v>38</v>
      </c>
      <c r="G13" s="8" t="str">
        <f t="shared" si="0"/>
        <v>AIM_3.3.2.1.1 _12</v>
      </c>
      <c r="H13" s="9" t="s">
        <v>714</v>
      </c>
      <c r="I13" s="8" t="s">
        <v>705</v>
      </c>
      <c r="J13" s="21" t="s">
        <v>715</v>
      </c>
      <c r="K13" s="22" t="s">
        <v>716</v>
      </c>
      <c r="L13" s="6" t="s">
        <v>43</v>
      </c>
      <c r="M13" s="23">
        <v>45842</v>
      </c>
      <c r="N13" s="7" t="s">
        <v>44</v>
      </c>
      <c r="O13" s="24"/>
    </row>
    <row r="14" spans="1:15">
      <c r="A14" s="10"/>
      <c r="B14" s="13" t="s">
        <v>719</v>
      </c>
      <c r="C14" s="6" t="s">
        <v>35</v>
      </c>
      <c r="D14" s="6" t="s">
        <v>36</v>
      </c>
      <c r="E14" s="7" t="s">
        <v>37</v>
      </c>
      <c r="F14" s="7" t="s">
        <v>38</v>
      </c>
      <c r="G14" s="8" t="str">
        <f t="shared" si="0"/>
        <v>AIM_3.3.2.1.1 _13</v>
      </c>
      <c r="H14" s="9" t="s">
        <v>704</v>
      </c>
      <c r="I14" s="8" t="s">
        <v>705</v>
      </c>
      <c r="J14" s="21" t="s">
        <v>706</v>
      </c>
      <c r="K14" s="22" t="s">
        <v>707</v>
      </c>
      <c r="L14" s="6" t="s">
        <v>43</v>
      </c>
      <c r="M14" s="23">
        <v>45842</v>
      </c>
      <c r="N14" s="7" t="s">
        <v>44</v>
      </c>
      <c r="O14" s="24"/>
    </row>
    <row r="15" spans="1:15">
      <c r="A15" s="10"/>
      <c r="B15" s="14"/>
      <c r="C15" s="6" t="s">
        <v>35</v>
      </c>
      <c r="D15" s="6" t="s">
        <v>36</v>
      </c>
      <c r="E15" s="7" t="s">
        <v>37</v>
      </c>
      <c r="F15" s="7" t="s">
        <v>38</v>
      </c>
      <c r="G15" s="8" t="str">
        <f t="shared" si="0"/>
        <v>AIM_3.3.2.1.1 _14</v>
      </c>
      <c r="H15" s="9" t="s">
        <v>708</v>
      </c>
      <c r="I15" s="8" t="s">
        <v>705</v>
      </c>
      <c r="J15" s="21" t="s">
        <v>709</v>
      </c>
      <c r="K15" s="22" t="s">
        <v>710</v>
      </c>
      <c r="L15" s="6" t="s">
        <v>43</v>
      </c>
      <c r="M15" s="23">
        <v>45842</v>
      </c>
      <c r="N15" s="7" t="s">
        <v>44</v>
      </c>
      <c r="O15" s="24"/>
    </row>
    <row r="16" spans="1:15">
      <c r="A16" s="10"/>
      <c r="B16" s="14"/>
      <c r="C16" s="6" t="s">
        <v>35</v>
      </c>
      <c r="D16" s="6" t="s">
        <v>36</v>
      </c>
      <c r="E16" s="7" t="s">
        <v>37</v>
      </c>
      <c r="F16" s="7" t="s">
        <v>38</v>
      </c>
      <c r="G16" s="8" t="str">
        <f t="shared" si="0"/>
        <v>AIM_3.3.2.1.1 _15</v>
      </c>
      <c r="H16" s="9" t="s">
        <v>711</v>
      </c>
      <c r="I16" s="8" t="s">
        <v>705</v>
      </c>
      <c r="J16" s="21" t="s">
        <v>712</v>
      </c>
      <c r="K16" s="22" t="s">
        <v>713</v>
      </c>
      <c r="L16" s="6" t="s">
        <v>43</v>
      </c>
      <c r="M16" s="23">
        <v>45842</v>
      </c>
      <c r="N16" s="7" t="s">
        <v>44</v>
      </c>
      <c r="O16" s="24"/>
    </row>
    <row r="17" spans="1:15">
      <c r="A17" s="10"/>
      <c r="B17" s="15"/>
      <c r="C17" s="6" t="s">
        <v>35</v>
      </c>
      <c r="D17" s="6" t="s">
        <v>36</v>
      </c>
      <c r="E17" s="7" t="s">
        <v>37</v>
      </c>
      <c r="F17" s="7" t="s">
        <v>38</v>
      </c>
      <c r="G17" s="8" t="str">
        <f t="shared" si="0"/>
        <v>AIM_3.3.2.1.1 _16</v>
      </c>
      <c r="H17" s="9" t="s">
        <v>714</v>
      </c>
      <c r="I17" s="8" t="s">
        <v>705</v>
      </c>
      <c r="J17" s="21" t="s">
        <v>715</v>
      </c>
      <c r="K17" s="22" t="s">
        <v>716</v>
      </c>
      <c r="L17" s="6" t="s">
        <v>43</v>
      </c>
      <c r="M17" s="23">
        <v>45842</v>
      </c>
      <c r="N17" s="7" t="s">
        <v>44</v>
      </c>
      <c r="O17" s="24"/>
    </row>
    <row r="18" spans="1:15">
      <c r="A18" s="16"/>
      <c r="B18" s="8" t="s">
        <v>720</v>
      </c>
      <c r="C18" s="6" t="s">
        <v>35</v>
      </c>
      <c r="D18" s="6" t="s">
        <v>36</v>
      </c>
      <c r="E18" s="7" t="s">
        <v>37</v>
      </c>
      <c r="F18" s="7" t="s">
        <v>38</v>
      </c>
      <c r="G18" s="8" t="str">
        <f t="shared" si="0"/>
        <v>AIM_3.3.2.1.1 _17</v>
      </c>
      <c r="H18" s="9" t="s">
        <v>721</v>
      </c>
      <c r="I18" s="8" t="s">
        <v>705</v>
      </c>
      <c r="J18" s="21" t="s">
        <v>697</v>
      </c>
      <c r="K18" s="22" t="s">
        <v>722</v>
      </c>
      <c r="L18" s="6" t="s">
        <v>43</v>
      </c>
      <c r="M18" s="23">
        <v>45842</v>
      </c>
      <c r="N18" s="7" t="s">
        <v>44</v>
      </c>
      <c r="O18" s="24"/>
    </row>
    <row r="19" spans="1:15">
      <c r="A19" s="4" t="s">
        <v>723</v>
      </c>
      <c r="B19" s="13" t="s">
        <v>703</v>
      </c>
      <c r="C19" s="6" t="s">
        <v>35</v>
      </c>
      <c r="D19" s="6" t="s">
        <v>36</v>
      </c>
      <c r="E19" s="7" t="s">
        <v>37</v>
      </c>
      <c r="F19" s="7" t="s">
        <v>38</v>
      </c>
      <c r="G19" s="8" t="str">
        <f t="shared" si="0"/>
        <v>AIM_3.3.2.1.1 _18</v>
      </c>
      <c r="H19" s="9" t="s">
        <v>704</v>
      </c>
      <c r="I19" s="8" t="s">
        <v>705</v>
      </c>
      <c r="J19" s="21" t="s">
        <v>706</v>
      </c>
      <c r="K19" s="22" t="s">
        <v>707</v>
      </c>
      <c r="L19" s="6" t="s">
        <v>43</v>
      </c>
      <c r="M19" s="23">
        <v>45842</v>
      </c>
      <c r="N19" s="7" t="s">
        <v>44</v>
      </c>
      <c r="O19" s="24"/>
    </row>
    <row r="20" spans="1:15">
      <c r="A20" s="10"/>
      <c r="B20" s="14"/>
      <c r="C20" s="6" t="s">
        <v>35</v>
      </c>
      <c r="D20" s="6" t="s">
        <v>36</v>
      </c>
      <c r="E20" s="7" t="s">
        <v>37</v>
      </c>
      <c r="F20" s="7" t="s">
        <v>38</v>
      </c>
      <c r="G20" s="8" t="str">
        <f t="shared" si="0"/>
        <v>AIM_3.3.2.1.1 _19</v>
      </c>
      <c r="H20" s="9" t="s">
        <v>708</v>
      </c>
      <c r="I20" s="8" t="s">
        <v>705</v>
      </c>
      <c r="J20" s="21" t="s">
        <v>709</v>
      </c>
      <c r="K20" s="22" t="s">
        <v>710</v>
      </c>
      <c r="L20" s="6" t="s">
        <v>43</v>
      </c>
      <c r="M20" s="23">
        <v>45842</v>
      </c>
      <c r="N20" s="7" t="s">
        <v>44</v>
      </c>
      <c r="O20" s="24"/>
    </row>
    <row r="21" spans="1:15">
      <c r="A21" s="10"/>
      <c r="B21" s="14"/>
      <c r="C21" s="6" t="s">
        <v>35</v>
      </c>
      <c r="D21" s="6" t="s">
        <v>36</v>
      </c>
      <c r="E21" s="7" t="s">
        <v>37</v>
      </c>
      <c r="F21" s="7" t="s">
        <v>38</v>
      </c>
      <c r="G21" s="8" t="str">
        <f t="shared" si="0"/>
        <v>AIM_3.3.2.1.1 _20</v>
      </c>
      <c r="H21" s="9" t="s">
        <v>711</v>
      </c>
      <c r="I21" s="8" t="s">
        <v>705</v>
      </c>
      <c r="J21" s="21" t="s">
        <v>712</v>
      </c>
      <c r="K21" s="22" t="s">
        <v>713</v>
      </c>
      <c r="L21" s="6" t="s">
        <v>43</v>
      </c>
      <c r="M21" s="23">
        <v>45842</v>
      </c>
      <c r="N21" s="7" t="s">
        <v>44</v>
      </c>
      <c r="O21" s="24"/>
    </row>
    <row r="22" spans="1:15">
      <c r="A22" s="10"/>
      <c r="B22" s="15"/>
      <c r="C22" s="6" t="s">
        <v>35</v>
      </c>
      <c r="D22" s="6" t="s">
        <v>36</v>
      </c>
      <c r="E22" s="7" t="s">
        <v>37</v>
      </c>
      <c r="F22" s="7" t="s">
        <v>38</v>
      </c>
      <c r="G22" s="8" t="str">
        <f t="shared" si="0"/>
        <v>AIM_3.3.2.1.1 _21</v>
      </c>
      <c r="H22" s="9" t="s">
        <v>714</v>
      </c>
      <c r="I22" s="8" t="s">
        <v>705</v>
      </c>
      <c r="J22" s="21" t="s">
        <v>715</v>
      </c>
      <c r="K22" s="22" t="s">
        <v>716</v>
      </c>
      <c r="L22" s="6" t="s">
        <v>43</v>
      </c>
      <c r="M22" s="23">
        <v>45842</v>
      </c>
      <c r="N22" s="7" t="s">
        <v>44</v>
      </c>
      <c r="O22" s="24"/>
    </row>
    <row r="23" spans="1:15">
      <c r="A23" s="10"/>
      <c r="B23" s="13" t="s">
        <v>717</v>
      </c>
      <c r="C23" s="6" t="s">
        <v>35</v>
      </c>
      <c r="D23" s="6" t="s">
        <v>36</v>
      </c>
      <c r="E23" s="7" t="s">
        <v>37</v>
      </c>
      <c r="F23" s="7" t="s">
        <v>38</v>
      </c>
      <c r="G23" s="8" t="str">
        <f t="shared" si="0"/>
        <v>AIM_3.3.2.1.1 _22</v>
      </c>
      <c r="H23" s="9" t="s">
        <v>704</v>
      </c>
      <c r="I23" s="8" t="s">
        <v>705</v>
      </c>
      <c r="J23" s="21" t="s">
        <v>706</v>
      </c>
      <c r="K23" s="22" t="s">
        <v>707</v>
      </c>
      <c r="L23" s="6" t="s">
        <v>43</v>
      </c>
      <c r="M23" s="23">
        <v>45842</v>
      </c>
      <c r="N23" s="7" t="s">
        <v>44</v>
      </c>
      <c r="O23" s="24"/>
    </row>
    <row r="24" spans="1:15">
      <c r="A24" s="10"/>
      <c r="B24" s="14"/>
      <c r="C24" s="6" t="s">
        <v>35</v>
      </c>
      <c r="D24" s="6" t="s">
        <v>36</v>
      </c>
      <c r="E24" s="7" t="s">
        <v>37</v>
      </c>
      <c r="F24" s="7" t="s">
        <v>38</v>
      </c>
      <c r="G24" s="8" t="str">
        <f t="shared" si="0"/>
        <v>AIM_3.3.2.1.1 _23</v>
      </c>
      <c r="H24" s="9" t="s">
        <v>708</v>
      </c>
      <c r="I24" s="8" t="s">
        <v>705</v>
      </c>
      <c r="J24" s="21" t="s">
        <v>709</v>
      </c>
      <c r="K24" s="22" t="s">
        <v>710</v>
      </c>
      <c r="L24" s="6" t="s">
        <v>43</v>
      </c>
      <c r="M24" s="23">
        <v>45842</v>
      </c>
      <c r="N24" s="7" t="s">
        <v>44</v>
      </c>
      <c r="O24" s="24"/>
    </row>
    <row r="25" spans="1:15">
      <c r="A25" s="10"/>
      <c r="B25" s="14"/>
      <c r="C25" s="6" t="s">
        <v>35</v>
      </c>
      <c r="D25" s="6" t="s">
        <v>36</v>
      </c>
      <c r="E25" s="7" t="s">
        <v>37</v>
      </c>
      <c r="F25" s="7" t="s">
        <v>38</v>
      </c>
      <c r="G25" s="8" t="str">
        <f t="shared" si="0"/>
        <v>AIM_3.3.2.1.1 _24</v>
      </c>
      <c r="H25" s="9" t="s">
        <v>711</v>
      </c>
      <c r="I25" s="8" t="s">
        <v>705</v>
      </c>
      <c r="J25" s="21" t="s">
        <v>712</v>
      </c>
      <c r="K25" s="22" t="s">
        <v>713</v>
      </c>
      <c r="L25" s="6" t="s">
        <v>43</v>
      </c>
      <c r="M25" s="23">
        <v>45842</v>
      </c>
      <c r="N25" s="7" t="s">
        <v>44</v>
      </c>
      <c r="O25" s="24"/>
    </row>
    <row r="26" spans="1:15">
      <c r="A26" s="10"/>
      <c r="B26" s="15"/>
      <c r="C26" s="6" t="s">
        <v>35</v>
      </c>
      <c r="D26" s="6" t="s">
        <v>36</v>
      </c>
      <c r="E26" s="7" t="s">
        <v>37</v>
      </c>
      <c r="F26" s="7" t="s">
        <v>38</v>
      </c>
      <c r="G26" s="8" t="str">
        <f t="shared" si="0"/>
        <v>AIM_3.3.2.1.1 _25</v>
      </c>
      <c r="H26" s="9" t="s">
        <v>714</v>
      </c>
      <c r="I26" s="8" t="s">
        <v>705</v>
      </c>
      <c r="J26" s="21" t="s">
        <v>715</v>
      </c>
      <c r="K26" s="22" t="s">
        <v>716</v>
      </c>
      <c r="L26" s="6" t="s">
        <v>43</v>
      </c>
      <c r="M26" s="23">
        <v>45842</v>
      </c>
      <c r="N26" s="7" t="s">
        <v>44</v>
      </c>
      <c r="O26" s="24"/>
    </row>
    <row r="27" spans="1:15">
      <c r="A27" s="16"/>
      <c r="B27" s="8" t="s">
        <v>720</v>
      </c>
      <c r="C27" s="6" t="s">
        <v>35</v>
      </c>
      <c r="D27" s="6" t="s">
        <v>36</v>
      </c>
      <c r="E27" s="7" t="s">
        <v>37</v>
      </c>
      <c r="F27" s="7" t="s">
        <v>38</v>
      </c>
      <c r="G27" s="8" t="str">
        <f t="shared" si="0"/>
        <v>AIM_3.3.2.1.1 _26</v>
      </c>
      <c r="H27" s="9" t="s">
        <v>721</v>
      </c>
      <c r="I27" s="8" t="s">
        <v>705</v>
      </c>
      <c r="J27" s="21" t="s">
        <v>697</v>
      </c>
      <c r="K27" s="22" t="s">
        <v>722</v>
      </c>
      <c r="L27" s="6" t="s">
        <v>43</v>
      </c>
      <c r="M27" s="23">
        <v>45842</v>
      </c>
      <c r="N27" s="7" t="s">
        <v>44</v>
      </c>
      <c r="O27" s="24"/>
    </row>
    <row r="28" spans="1:15">
      <c r="A28" s="17" t="s">
        <v>724</v>
      </c>
      <c r="B28" s="2" t="s">
        <v>725</v>
      </c>
      <c r="C28" s="6" t="s">
        <v>35</v>
      </c>
      <c r="D28" s="6" t="s">
        <v>36</v>
      </c>
      <c r="E28" s="7" t="s">
        <v>37</v>
      </c>
      <c r="F28" s="7" t="s">
        <v>38</v>
      </c>
      <c r="G28" s="8" t="str">
        <f t="shared" ref="G28:G46" si="1">"AIM_3.3.2.1.1 _"&amp;ROW()-1</f>
        <v>AIM_3.3.2.1.1 _27</v>
      </c>
      <c r="H28" s="9" t="s">
        <v>726</v>
      </c>
      <c r="I28" s="8" t="s">
        <v>705</v>
      </c>
      <c r="J28" s="21" t="s">
        <v>727</v>
      </c>
      <c r="K28" s="22" t="s">
        <v>728</v>
      </c>
      <c r="L28" s="6" t="s">
        <v>43</v>
      </c>
      <c r="M28" s="23">
        <v>45842</v>
      </c>
      <c r="N28" s="7" t="s">
        <v>44</v>
      </c>
      <c r="O28" s="24"/>
    </row>
    <row r="29" ht="71.25" spans="1:15">
      <c r="A29" s="18"/>
      <c r="B29" s="2" t="s">
        <v>729</v>
      </c>
      <c r="C29" s="6" t="s">
        <v>35</v>
      </c>
      <c r="D29" s="6" t="s">
        <v>36</v>
      </c>
      <c r="E29" s="7" t="s">
        <v>37</v>
      </c>
      <c r="F29" s="7" t="s">
        <v>38</v>
      </c>
      <c r="G29" s="8" t="str">
        <f t="shared" si="1"/>
        <v>AIM_3.3.2.1.1 _28</v>
      </c>
      <c r="H29" s="9" t="s">
        <v>730</v>
      </c>
      <c r="I29" s="8" t="s">
        <v>705</v>
      </c>
      <c r="J29" s="21" t="s">
        <v>731</v>
      </c>
      <c r="K29" s="22" t="s">
        <v>732</v>
      </c>
      <c r="L29" s="6" t="s">
        <v>43</v>
      </c>
      <c r="M29" s="23">
        <v>45842</v>
      </c>
      <c r="N29" s="7" t="s">
        <v>44</v>
      </c>
      <c r="O29" s="24"/>
    </row>
    <row r="30" ht="27" spans="1:15">
      <c r="A30" s="18"/>
      <c r="B30" s="4" t="s">
        <v>733</v>
      </c>
      <c r="C30" s="6" t="s">
        <v>35</v>
      </c>
      <c r="D30" s="6" t="s">
        <v>36</v>
      </c>
      <c r="E30" s="7" t="s">
        <v>37</v>
      </c>
      <c r="F30" s="7" t="s">
        <v>38</v>
      </c>
      <c r="G30" s="8" t="str">
        <f t="shared" si="1"/>
        <v>AIM_3.3.2.1.1 _29</v>
      </c>
      <c r="H30" s="9" t="s">
        <v>734</v>
      </c>
      <c r="I30" s="8" t="s">
        <v>705</v>
      </c>
      <c r="J30" s="21" t="s">
        <v>731</v>
      </c>
      <c r="K30" s="22" t="s">
        <v>735</v>
      </c>
      <c r="L30" s="6" t="s">
        <v>43</v>
      </c>
      <c r="M30" s="23">
        <v>45842</v>
      </c>
      <c r="N30" s="7" t="s">
        <v>44</v>
      </c>
      <c r="O30" s="24"/>
    </row>
    <row r="31" ht="27" spans="1:15">
      <c r="A31" s="18"/>
      <c r="B31" s="16"/>
      <c r="C31" s="6" t="s">
        <v>35</v>
      </c>
      <c r="D31" s="6" t="s">
        <v>36</v>
      </c>
      <c r="E31" s="7" t="s">
        <v>37</v>
      </c>
      <c r="F31" s="7" t="s">
        <v>38</v>
      </c>
      <c r="G31" s="8" t="str">
        <f t="shared" si="1"/>
        <v>AIM_3.3.2.1.1 _30</v>
      </c>
      <c r="H31" s="9" t="s">
        <v>736</v>
      </c>
      <c r="I31" s="8" t="s">
        <v>705</v>
      </c>
      <c r="J31" s="21" t="s">
        <v>731</v>
      </c>
      <c r="K31" s="22" t="s">
        <v>735</v>
      </c>
      <c r="L31" s="6" t="s">
        <v>43</v>
      </c>
      <c r="M31" s="23">
        <v>45842</v>
      </c>
      <c r="N31" s="7" t="s">
        <v>44</v>
      </c>
      <c r="O31" s="24"/>
    </row>
    <row r="32" ht="27" spans="1:15">
      <c r="A32" s="18"/>
      <c r="B32" s="4" t="s">
        <v>737</v>
      </c>
      <c r="C32" s="6" t="s">
        <v>35</v>
      </c>
      <c r="D32" s="6" t="s">
        <v>36</v>
      </c>
      <c r="E32" s="7" t="s">
        <v>37</v>
      </c>
      <c r="F32" s="7" t="s">
        <v>38</v>
      </c>
      <c r="G32" s="8" t="str">
        <f t="shared" si="1"/>
        <v>AIM_3.3.2.1.1 _31</v>
      </c>
      <c r="H32" s="9" t="s">
        <v>738</v>
      </c>
      <c r="I32" s="8" t="s">
        <v>705</v>
      </c>
      <c r="J32" s="21" t="s">
        <v>731</v>
      </c>
      <c r="K32" s="22" t="s">
        <v>739</v>
      </c>
      <c r="L32" s="6" t="s">
        <v>43</v>
      </c>
      <c r="M32" s="23">
        <v>45842</v>
      </c>
      <c r="N32" s="7" t="s">
        <v>44</v>
      </c>
      <c r="O32" s="24"/>
    </row>
    <row r="33" ht="27" spans="1:15">
      <c r="A33" s="18"/>
      <c r="B33" s="16"/>
      <c r="C33" s="6" t="s">
        <v>35</v>
      </c>
      <c r="D33" s="6" t="s">
        <v>36</v>
      </c>
      <c r="E33" s="7" t="s">
        <v>37</v>
      </c>
      <c r="F33" s="7" t="s">
        <v>38</v>
      </c>
      <c r="G33" s="8" t="str">
        <f t="shared" si="1"/>
        <v>AIM_3.3.2.1.1 _32</v>
      </c>
      <c r="H33" s="9" t="s">
        <v>740</v>
      </c>
      <c r="I33" s="8" t="s">
        <v>705</v>
      </c>
      <c r="J33" s="21" t="s">
        <v>731</v>
      </c>
      <c r="K33" s="22" t="s">
        <v>739</v>
      </c>
      <c r="L33" s="6" t="s">
        <v>43</v>
      </c>
      <c r="M33" s="23">
        <v>45842</v>
      </c>
      <c r="N33" s="7" t="s">
        <v>44</v>
      </c>
      <c r="O33" s="24"/>
    </row>
    <row r="34" ht="27" spans="1:15">
      <c r="A34" s="18"/>
      <c r="B34" s="4" t="s">
        <v>741</v>
      </c>
      <c r="C34" s="6" t="s">
        <v>35</v>
      </c>
      <c r="D34" s="6" t="s">
        <v>36</v>
      </c>
      <c r="E34" s="7" t="s">
        <v>37</v>
      </c>
      <c r="F34" s="7" t="s">
        <v>38</v>
      </c>
      <c r="G34" s="8" t="str">
        <f t="shared" si="1"/>
        <v>AIM_3.3.2.1.1 _33</v>
      </c>
      <c r="H34" s="9" t="s">
        <v>742</v>
      </c>
      <c r="I34" s="8" t="s">
        <v>705</v>
      </c>
      <c r="J34" s="21" t="s">
        <v>731</v>
      </c>
      <c r="K34" s="22" t="s">
        <v>743</v>
      </c>
      <c r="L34" s="6" t="s">
        <v>43</v>
      </c>
      <c r="M34" s="23">
        <v>45842</v>
      </c>
      <c r="N34" s="7" t="s">
        <v>44</v>
      </c>
      <c r="O34" s="24"/>
    </row>
    <row r="35" ht="27" spans="1:15">
      <c r="A35" s="18"/>
      <c r="B35" s="16"/>
      <c r="C35" s="6" t="s">
        <v>35</v>
      </c>
      <c r="D35" s="6" t="s">
        <v>36</v>
      </c>
      <c r="E35" s="7" t="s">
        <v>37</v>
      </c>
      <c r="F35" s="7" t="s">
        <v>38</v>
      </c>
      <c r="G35" s="8" t="str">
        <f t="shared" si="1"/>
        <v>AIM_3.3.2.1.1 _34</v>
      </c>
      <c r="H35" s="9" t="s">
        <v>744</v>
      </c>
      <c r="I35" s="8" t="s">
        <v>705</v>
      </c>
      <c r="J35" s="21" t="s">
        <v>731</v>
      </c>
      <c r="K35" s="22" t="s">
        <v>743</v>
      </c>
      <c r="L35" s="6" t="s">
        <v>43</v>
      </c>
      <c r="M35" s="23">
        <v>45842</v>
      </c>
      <c r="N35" s="7" t="s">
        <v>44</v>
      </c>
      <c r="O35" s="24"/>
    </row>
    <row r="36" ht="27" spans="1:15">
      <c r="A36" s="18"/>
      <c r="B36" s="4" t="s">
        <v>745</v>
      </c>
      <c r="C36" s="6" t="s">
        <v>35</v>
      </c>
      <c r="D36" s="6" t="s">
        <v>36</v>
      </c>
      <c r="E36" s="7" t="s">
        <v>37</v>
      </c>
      <c r="F36" s="7" t="s">
        <v>38</v>
      </c>
      <c r="G36" s="8" t="str">
        <f t="shared" si="1"/>
        <v>AIM_3.3.2.1.1 _35</v>
      </c>
      <c r="H36" s="9" t="s">
        <v>746</v>
      </c>
      <c r="I36" s="8" t="s">
        <v>705</v>
      </c>
      <c r="J36" s="21" t="s">
        <v>731</v>
      </c>
      <c r="K36" s="22" t="s">
        <v>747</v>
      </c>
      <c r="L36" s="6" t="s">
        <v>43</v>
      </c>
      <c r="M36" s="23">
        <v>45842</v>
      </c>
      <c r="N36" s="7" t="s">
        <v>44</v>
      </c>
      <c r="O36" s="24"/>
    </row>
    <row r="37" ht="27" spans="1:15">
      <c r="A37" s="18"/>
      <c r="B37" s="16"/>
      <c r="C37" s="6" t="s">
        <v>35</v>
      </c>
      <c r="D37" s="6" t="s">
        <v>36</v>
      </c>
      <c r="E37" s="7" t="s">
        <v>37</v>
      </c>
      <c r="F37" s="7" t="s">
        <v>38</v>
      </c>
      <c r="G37" s="8" t="str">
        <f t="shared" si="1"/>
        <v>AIM_3.3.2.1.1 _36</v>
      </c>
      <c r="H37" s="9" t="s">
        <v>748</v>
      </c>
      <c r="I37" s="8" t="s">
        <v>705</v>
      </c>
      <c r="J37" s="21" t="s">
        <v>731</v>
      </c>
      <c r="K37" s="22" t="s">
        <v>747</v>
      </c>
      <c r="L37" s="6" t="s">
        <v>43</v>
      </c>
      <c r="M37" s="23">
        <v>45842</v>
      </c>
      <c r="N37" s="7" t="s">
        <v>44</v>
      </c>
      <c r="O37" s="24"/>
    </row>
    <row r="38" ht="71.25" spans="1:15">
      <c r="A38" s="19"/>
      <c r="B38" s="2" t="s">
        <v>749</v>
      </c>
      <c r="C38" s="6" t="s">
        <v>35</v>
      </c>
      <c r="D38" s="6" t="s">
        <v>36</v>
      </c>
      <c r="E38" s="7" t="s">
        <v>37</v>
      </c>
      <c r="F38" s="7" t="s">
        <v>38</v>
      </c>
      <c r="G38" s="8" t="str">
        <f t="shared" si="1"/>
        <v>AIM_3.3.2.1.1 _37</v>
      </c>
      <c r="H38" s="9" t="s">
        <v>750</v>
      </c>
      <c r="I38" s="8" t="s">
        <v>705</v>
      </c>
      <c r="J38" s="21" t="s">
        <v>731</v>
      </c>
      <c r="K38" s="22" t="s">
        <v>751</v>
      </c>
      <c r="L38" s="6" t="s">
        <v>43</v>
      </c>
      <c r="M38" s="23">
        <v>45842</v>
      </c>
      <c r="N38" s="7" t="s">
        <v>44</v>
      </c>
      <c r="O38" s="24"/>
    </row>
    <row r="39" ht="28.5" spans="1:15">
      <c r="A39" s="17" t="s">
        <v>752</v>
      </c>
      <c r="B39" s="17" t="s">
        <v>753</v>
      </c>
      <c r="C39" s="6" t="s">
        <v>35</v>
      </c>
      <c r="D39" s="6" t="s">
        <v>36</v>
      </c>
      <c r="E39" s="7" t="s">
        <v>37</v>
      </c>
      <c r="F39" s="7" t="s">
        <v>38</v>
      </c>
      <c r="G39" s="8" t="str">
        <f t="shared" si="1"/>
        <v>AIM_3.3.2.1.1 _38</v>
      </c>
      <c r="H39" s="9" t="s">
        <v>754</v>
      </c>
      <c r="I39" s="8" t="s">
        <v>755</v>
      </c>
      <c r="J39" s="21" t="s">
        <v>134</v>
      </c>
      <c r="K39" s="22" t="s">
        <v>756</v>
      </c>
      <c r="L39" s="6" t="s">
        <v>43</v>
      </c>
      <c r="M39" s="23">
        <v>45842</v>
      </c>
      <c r="N39" s="7" t="s">
        <v>44</v>
      </c>
      <c r="O39" s="24"/>
    </row>
    <row r="40" ht="135" spans="1:15">
      <c r="A40" s="18"/>
      <c r="B40" s="18"/>
      <c r="C40" s="6" t="s">
        <v>35</v>
      </c>
      <c r="D40" s="6" t="s">
        <v>36</v>
      </c>
      <c r="E40" s="7" t="s">
        <v>37</v>
      </c>
      <c r="F40" s="7" t="s">
        <v>38</v>
      </c>
      <c r="G40" s="8" t="str">
        <f t="shared" si="1"/>
        <v>AIM_3.3.2.1.1 _39</v>
      </c>
      <c r="H40" s="9" t="s">
        <v>757</v>
      </c>
      <c r="I40" s="8" t="s">
        <v>755</v>
      </c>
      <c r="J40" s="21" t="s">
        <v>663</v>
      </c>
      <c r="K40" s="22" t="s">
        <v>758</v>
      </c>
      <c r="L40" s="6" t="s">
        <v>43</v>
      </c>
      <c r="M40" s="23">
        <v>45842</v>
      </c>
      <c r="N40" s="7" t="s">
        <v>44</v>
      </c>
      <c r="O40" s="24"/>
    </row>
    <row r="41" ht="135" spans="1:15">
      <c r="A41" s="18"/>
      <c r="B41" s="18"/>
      <c r="C41" s="6" t="s">
        <v>35</v>
      </c>
      <c r="D41" s="6" t="s">
        <v>36</v>
      </c>
      <c r="E41" s="7" t="s">
        <v>37</v>
      </c>
      <c r="F41" s="7" t="s">
        <v>38</v>
      </c>
      <c r="G41" s="8" t="str">
        <f t="shared" si="1"/>
        <v>AIM_3.3.2.1.1 _40</v>
      </c>
      <c r="H41" s="9" t="s">
        <v>759</v>
      </c>
      <c r="I41" s="8" t="s">
        <v>755</v>
      </c>
      <c r="J41" s="21" t="s">
        <v>760</v>
      </c>
      <c r="K41" s="22" t="s">
        <v>761</v>
      </c>
      <c r="L41" s="6" t="s">
        <v>43</v>
      </c>
      <c r="M41" s="23">
        <v>45842</v>
      </c>
      <c r="N41" s="7" t="s">
        <v>44</v>
      </c>
      <c r="O41" s="24"/>
    </row>
    <row r="42" ht="28.5" spans="1:15">
      <c r="A42" s="18"/>
      <c r="B42" s="18"/>
      <c r="C42" s="6" t="s">
        <v>35</v>
      </c>
      <c r="D42" s="6" t="s">
        <v>36</v>
      </c>
      <c r="E42" s="7" t="s">
        <v>37</v>
      </c>
      <c r="F42" s="7" t="s">
        <v>38</v>
      </c>
      <c r="G42" s="8" t="str">
        <f t="shared" si="1"/>
        <v>AIM_3.3.2.1.1 _41</v>
      </c>
      <c r="H42" s="9" t="s">
        <v>762</v>
      </c>
      <c r="I42" s="8" t="s">
        <v>755</v>
      </c>
      <c r="J42" s="21" t="s">
        <v>134</v>
      </c>
      <c r="K42" s="22" t="s">
        <v>756</v>
      </c>
      <c r="L42" s="6" t="s">
        <v>43</v>
      </c>
      <c r="M42" s="23">
        <v>45842</v>
      </c>
      <c r="N42" s="7" t="s">
        <v>44</v>
      </c>
      <c r="O42" s="24"/>
    </row>
    <row r="43" ht="135" spans="1:15">
      <c r="A43" s="18"/>
      <c r="B43" s="18"/>
      <c r="C43" s="6" t="s">
        <v>35</v>
      </c>
      <c r="D43" s="6" t="s">
        <v>36</v>
      </c>
      <c r="E43" s="7" t="s">
        <v>37</v>
      </c>
      <c r="F43" s="7" t="s">
        <v>38</v>
      </c>
      <c r="G43" s="8" t="str">
        <f t="shared" si="1"/>
        <v>AIM_3.3.2.1.1 _42</v>
      </c>
      <c r="H43" s="9" t="s">
        <v>763</v>
      </c>
      <c r="I43" s="8" t="s">
        <v>755</v>
      </c>
      <c r="J43" s="21" t="s">
        <v>663</v>
      </c>
      <c r="K43" s="22" t="s">
        <v>764</v>
      </c>
      <c r="L43" s="6" t="s">
        <v>43</v>
      </c>
      <c r="M43" s="23">
        <v>45842</v>
      </c>
      <c r="N43" s="7" t="s">
        <v>44</v>
      </c>
      <c r="O43" s="24"/>
    </row>
    <row r="44" ht="135" spans="1:15">
      <c r="A44" s="19"/>
      <c r="B44" s="19"/>
      <c r="C44" s="6" t="s">
        <v>35</v>
      </c>
      <c r="D44" s="6" t="s">
        <v>36</v>
      </c>
      <c r="E44" s="7" t="s">
        <v>37</v>
      </c>
      <c r="F44" s="7" t="s">
        <v>38</v>
      </c>
      <c r="G44" s="8" t="str">
        <f t="shared" si="1"/>
        <v>AIM_3.3.2.1.1 _43</v>
      </c>
      <c r="H44" s="9" t="s">
        <v>765</v>
      </c>
      <c r="I44" s="8" t="s">
        <v>755</v>
      </c>
      <c r="J44" s="21" t="s">
        <v>760</v>
      </c>
      <c r="K44" s="22" t="s">
        <v>766</v>
      </c>
      <c r="L44" s="6" t="s">
        <v>43</v>
      </c>
      <c r="M44" s="23">
        <v>45842</v>
      </c>
      <c r="N44" s="7" t="s">
        <v>44</v>
      </c>
      <c r="O44" s="24"/>
    </row>
    <row r="45" ht="27" spans="1:15">
      <c r="A45" s="17" t="s">
        <v>767</v>
      </c>
      <c r="B45" s="17" t="s">
        <v>768</v>
      </c>
      <c r="C45" s="6" t="s">
        <v>35</v>
      </c>
      <c r="D45" s="6" t="s">
        <v>36</v>
      </c>
      <c r="E45" s="7" t="s">
        <v>37</v>
      </c>
      <c r="F45" s="7" t="s">
        <v>38</v>
      </c>
      <c r="G45" s="8" t="str">
        <f t="shared" si="1"/>
        <v>AIM_3.3.2.1.1 _44</v>
      </c>
      <c r="H45" s="9" t="s">
        <v>769</v>
      </c>
      <c r="I45" s="8" t="s">
        <v>705</v>
      </c>
      <c r="J45" s="21" t="s">
        <v>731</v>
      </c>
      <c r="K45" s="22" t="s">
        <v>770</v>
      </c>
      <c r="L45" s="6" t="s">
        <v>43</v>
      </c>
      <c r="M45" s="23">
        <v>45842</v>
      </c>
      <c r="N45" s="7" t="s">
        <v>44</v>
      </c>
      <c r="O45" s="24"/>
    </row>
    <row r="46" ht="27" spans="1:15">
      <c r="A46" s="19"/>
      <c r="B46" s="19"/>
      <c r="C46" s="6" t="s">
        <v>35</v>
      </c>
      <c r="D46" s="6" t="s">
        <v>36</v>
      </c>
      <c r="E46" s="7" t="s">
        <v>37</v>
      </c>
      <c r="F46" s="7" t="s">
        <v>38</v>
      </c>
      <c r="G46" s="8" t="str">
        <f t="shared" si="1"/>
        <v>AIM_3.3.2.1.1 _45</v>
      </c>
      <c r="H46" s="9" t="s">
        <v>771</v>
      </c>
      <c r="I46" s="8" t="s">
        <v>705</v>
      </c>
      <c r="J46" s="21" t="s">
        <v>731</v>
      </c>
      <c r="K46" s="22" t="s">
        <v>770</v>
      </c>
      <c r="L46" s="6" t="s">
        <v>43</v>
      </c>
      <c r="M46" s="23">
        <v>45842</v>
      </c>
      <c r="N46" s="7" t="s">
        <v>44</v>
      </c>
      <c r="O46" s="24"/>
    </row>
  </sheetData>
  <autoFilter xmlns:etc="http://www.wps.cn/officeDocument/2017/etCustomData" ref="M1:M46" etc:filterBottomFollowUsedRange="0">
    <extLst/>
  </autoFilter>
  <mergeCells count="17">
    <mergeCell ref="A2:A18"/>
    <mergeCell ref="A19:A27"/>
    <mergeCell ref="A28:A38"/>
    <mergeCell ref="A39:A44"/>
    <mergeCell ref="A45:A46"/>
    <mergeCell ref="B2:B5"/>
    <mergeCell ref="B6:B9"/>
    <mergeCell ref="B10:B13"/>
    <mergeCell ref="B14:B17"/>
    <mergeCell ref="B19:B22"/>
    <mergeCell ref="B23:B26"/>
    <mergeCell ref="B30:B31"/>
    <mergeCell ref="B32:B33"/>
    <mergeCell ref="B34:B35"/>
    <mergeCell ref="B36:B37"/>
    <mergeCell ref="B39:B44"/>
    <mergeCell ref="B45:B46"/>
  </mergeCells>
  <conditionalFormatting sqref="C1">
    <cfRule type="cellIs" dxfId="9" priority="1889" operator="equal">
      <formula>"3级"</formula>
    </cfRule>
    <cfRule type="cellIs" dxfId="2" priority="1890" operator="equal">
      <formula>"2级"</formula>
    </cfRule>
    <cfRule type="cellIs" dxfId="10" priority="1891" operator="equal">
      <formula>"1级"</formula>
    </cfRule>
  </conditionalFormatting>
  <conditionalFormatting sqref="L1">
    <cfRule type="cellIs" dxfId="0" priority="1887" operator="equal">
      <formula>"不通过"</formula>
    </cfRule>
    <cfRule type="cellIs" dxfId="1" priority="1888" operator="equal">
      <formula>"通过"</formula>
    </cfRule>
  </conditionalFormatting>
  <conditionalFormatting sqref="C2">
    <cfRule type="cellIs" dxfId="9" priority="1863" operator="equal">
      <formula>"3级"</formula>
    </cfRule>
    <cfRule type="cellIs" dxfId="2" priority="1864" operator="equal">
      <formula>"2级"</formula>
    </cfRule>
    <cfRule type="cellIs" dxfId="10" priority="1865" operator="equal">
      <formula>"1级"</formula>
    </cfRule>
  </conditionalFormatting>
  <conditionalFormatting sqref="E2">
    <cfRule type="cellIs" dxfId="1" priority="1849" operator="equal">
      <formula>"新增"</formula>
    </cfRule>
    <cfRule type="cellIs" dxfId="11" priority="1856" operator="equal">
      <formula>"废弃"</formula>
    </cfRule>
    <cfRule type="cellIs" dxfId="12" priority="1857" operator="equal">
      <formula>"更新"</formula>
    </cfRule>
    <cfRule type="cellIs" dxfId="13" priority="1858" operator="equal">
      <formula>"优化"</formula>
    </cfRule>
    <cfRule type="cellIs" dxfId="2" priority="1859" operator="equal">
      <formula>"新增"</formula>
    </cfRule>
    <cfRule type="cellIs" dxfId="5" priority="1860" operator="equal">
      <formula>"IVOC"</formula>
    </cfRule>
    <cfRule type="cellIs" dxfId="6" priority="1861" operator="equal">
      <formula>"500/510"</formula>
    </cfRule>
    <cfRule type="cellIs" dxfId="7" priority="1862" operator="equal">
      <formula>"500/510/IVOC"</formula>
    </cfRule>
  </conditionalFormatting>
  <conditionalFormatting sqref="L2">
    <cfRule type="cellIs" dxfId="8" priority="133" operator="equal">
      <formula>"堵塞"</formula>
    </cfRule>
    <cfRule type="cellIs" dxfId="0" priority="134" operator="equal">
      <formula>"不通过"</formula>
    </cfRule>
    <cfRule type="cellIs" dxfId="1" priority="135" operator="equal">
      <formula>"通过"</formula>
    </cfRule>
  </conditionalFormatting>
  <conditionalFormatting sqref="C3">
    <cfRule type="cellIs" dxfId="9" priority="1809" operator="equal">
      <formula>"3级"</formula>
    </cfRule>
    <cfRule type="cellIs" dxfId="2" priority="1810" operator="equal">
      <formula>"2级"</formula>
    </cfRule>
    <cfRule type="cellIs" dxfId="10" priority="1811" operator="equal">
      <formula>"1级"</formula>
    </cfRule>
  </conditionalFormatting>
  <conditionalFormatting sqref="E3">
    <cfRule type="cellIs" dxfId="1" priority="1795" operator="equal">
      <formula>"新增"</formula>
    </cfRule>
    <cfRule type="cellIs" dxfId="11" priority="1802" operator="equal">
      <formula>"废弃"</formula>
    </cfRule>
    <cfRule type="cellIs" dxfId="12" priority="1803" operator="equal">
      <formula>"更新"</formula>
    </cfRule>
    <cfRule type="cellIs" dxfId="13" priority="1804" operator="equal">
      <formula>"优化"</formula>
    </cfRule>
    <cfRule type="cellIs" dxfId="2" priority="1805" operator="equal">
      <formula>"新增"</formula>
    </cfRule>
    <cfRule type="cellIs" dxfId="5" priority="1806" operator="equal">
      <formula>"IVOC"</formula>
    </cfRule>
    <cfRule type="cellIs" dxfId="6" priority="1807" operator="equal">
      <formula>"500/510"</formula>
    </cfRule>
    <cfRule type="cellIs" dxfId="7" priority="1808" operator="equal">
      <formula>"500/510/IVOC"</formula>
    </cfRule>
  </conditionalFormatting>
  <conditionalFormatting sqref="L3">
    <cfRule type="cellIs" dxfId="8" priority="130" operator="equal">
      <formula>"堵塞"</formula>
    </cfRule>
    <cfRule type="cellIs" dxfId="0" priority="131" operator="equal">
      <formula>"不通过"</formula>
    </cfRule>
    <cfRule type="cellIs" dxfId="1" priority="132" operator="equal">
      <formula>"通过"</formula>
    </cfRule>
  </conditionalFormatting>
  <conditionalFormatting sqref="C4">
    <cfRule type="cellIs" dxfId="9" priority="1755" operator="equal">
      <formula>"3级"</formula>
    </cfRule>
    <cfRule type="cellIs" dxfId="2" priority="1756" operator="equal">
      <formula>"2级"</formula>
    </cfRule>
    <cfRule type="cellIs" dxfId="10" priority="1757" operator="equal">
      <formula>"1级"</formula>
    </cfRule>
  </conditionalFormatting>
  <conditionalFormatting sqref="E4">
    <cfRule type="cellIs" dxfId="1" priority="1741" operator="equal">
      <formula>"新增"</formula>
    </cfRule>
    <cfRule type="cellIs" dxfId="11" priority="1748" operator="equal">
      <formula>"废弃"</formula>
    </cfRule>
    <cfRule type="cellIs" dxfId="12" priority="1749" operator="equal">
      <formula>"更新"</formula>
    </cfRule>
    <cfRule type="cellIs" dxfId="13" priority="1750" operator="equal">
      <formula>"优化"</formula>
    </cfRule>
    <cfRule type="cellIs" dxfId="2" priority="1751" operator="equal">
      <formula>"新增"</formula>
    </cfRule>
    <cfRule type="cellIs" dxfId="5" priority="1752" operator="equal">
      <formula>"IVOC"</formula>
    </cfRule>
    <cfRule type="cellIs" dxfId="6" priority="1753" operator="equal">
      <formula>"500/510"</formula>
    </cfRule>
    <cfRule type="cellIs" dxfId="7" priority="1754" operator="equal">
      <formula>"500/510/IVOC"</formula>
    </cfRule>
  </conditionalFormatting>
  <conditionalFormatting sqref="L4">
    <cfRule type="cellIs" dxfId="8" priority="127" operator="equal">
      <formula>"堵塞"</formula>
    </cfRule>
    <cfRule type="cellIs" dxfId="0" priority="128" operator="equal">
      <formula>"不通过"</formula>
    </cfRule>
    <cfRule type="cellIs" dxfId="1" priority="129" operator="equal">
      <formula>"通过"</formula>
    </cfRule>
  </conditionalFormatting>
  <conditionalFormatting sqref="C5">
    <cfRule type="cellIs" dxfId="9" priority="1701" operator="equal">
      <formula>"3级"</formula>
    </cfRule>
    <cfRule type="cellIs" dxfId="2" priority="1702" operator="equal">
      <formula>"2级"</formula>
    </cfRule>
    <cfRule type="cellIs" dxfId="10" priority="1703" operator="equal">
      <formula>"1级"</formula>
    </cfRule>
  </conditionalFormatting>
  <conditionalFormatting sqref="E5">
    <cfRule type="cellIs" dxfId="1" priority="1687" operator="equal">
      <formula>"新增"</formula>
    </cfRule>
    <cfRule type="cellIs" dxfId="11" priority="1694" operator="equal">
      <formula>"废弃"</formula>
    </cfRule>
    <cfRule type="cellIs" dxfId="12" priority="1695" operator="equal">
      <formula>"更新"</formula>
    </cfRule>
    <cfRule type="cellIs" dxfId="13" priority="1696" operator="equal">
      <formula>"优化"</formula>
    </cfRule>
    <cfRule type="cellIs" dxfId="2" priority="1697" operator="equal">
      <formula>"新增"</formula>
    </cfRule>
    <cfRule type="cellIs" dxfId="5" priority="1698" operator="equal">
      <formula>"IVOC"</formula>
    </cfRule>
    <cfRule type="cellIs" dxfId="6" priority="1699" operator="equal">
      <formula>"500/510"</formula>
    </cfRule>
    <cfRule type="cellIs" dxfId="7" priority="1700" operator="equal">
      <formula>"500/510/IVOC"</formula>
    </cfRule>
  </conditionalFormatting>
  <conditionalFormatting sqref="L5">
    <cfRule type="cellIs" dxfId="8" priority="124" operator="equal">
      <formula>"堵塞"</formula>
    </cfRule>
    <cfRule type="cellIs" dxfId="0" priority="125" operator="equal">
      <formula>"不通过"</formula>
    </cfRule>
    <cfRule type="cellIs" dxfId="1" priority="126" operator="equal">
      <formula>"通过"</formula>
    </cfRule>
  </conditionalFormatting>
  <conditionalFormatting sqref="C6">
    <cfRule type="cellIs" dxfId="9" priority="1647" operator="equal">
      <formula>"3级"</formula>
    </cfRule>
    <cfRule type="cellIs" dxfId="2" priority="1648" operator="equal">
      <formula>"2级"</formula>
    </cfRule>
    <cfRule type="cellIs" dxfId="10" priority="1649" operator="equal">
      <formula>"1级"</formula>
    </cfRule>
  </conditionalFormatting>
  <conditionalFormatting sqref="E6">
    <cfRule type="cellIs" dxfId="1" priority="1633" operator="equal">
      <formula>"新增"</formula>
    </cfRule>
    <cfRule type="cellIs" dxfId="11" priority="1640" operator="equal">
      <formula>"废弃"</formula>
    </cfRule>
    <cfRule type="cellIs" dxfId="12" priority="1641" operator="equal">
      <formula>"更新"</formula>
    </cfRule>
    <cfRule type="cellIs" dxfId="13" priority="1642" operator="equal">
      <formula>"优化"</formula>
    </cfRule>
    <cfRule type="cellIs" dxfId="2" priority="1643" operator="equal">
      <formula>"新增"</formula>
    </cfRule>
    <cfRule type="cellIs" dxfId="5" priority="1644" operator="equal">
      <formula>"IVOC"</formula>
    </cfRule>
    <cfRule type="cellIs" dxfId="6" priority="1645" operator="equal">
      <formula>"500/510"</formula>
    </cfRule>
    <cfRule type="cellIs" dxfId="7" priority="1646" operator="equal">
      <formula>"500/510/IVOC"</formula>
    </cfRule>
  </conditionalFormatting>
  <conditionalFormatting sqref="L6">
    <cfRule type="cellIs" dxfId="8" priority="121" operator="equal">
      <formula>"堵塞"</formula>
    </cfRule>
    <cfRule type="cellIs" dxfId="0" priority="122" operator="equal">
      <formula>"不通过"</formula>
    </cfRule>
    <cfRule type="cellIs" dxfId="1" priority="123" operator="equal">
      <formula>"通过"</formula>
    </cfRule>
  </conditionalFormatting>
  <conditionalFormatting sqref="C7">
    <cfRule type="cellIs" dxfId="9" priority="1593" operator="equal">
      <formula>"3级"</formula>
    </cfRule>
    <cfRule type="cellIs" dxfId="2" priority="1594" operator="equal">
      <formula>"2级"</formula>
    </cfRule>
    <cfRule type="cellIs" dxfId="10" priority="1595" operator="equal">
      <formula>"1级"</formula>
    </cfRule>
  </conditionalFormatting>
  <conditionalFormatting sqref="E7">
    <cfRule type="cellIs" dxfId="1" priority="1579" operator="equal">
      <formula>"新增"</formula>
    </cfRule>
    <cfRule type="cellIs" dxfId="11" priority="1586" operator="equal">
      <formula>"废弃"</formula>
    </cfRule>
    <cfRule type="cellIs" dxfId="12" priority="1587" operator="equal">
      <formula>"更新"</formula>
    </cfRule>
    <cfRule type="cellIs" dxfId="13" priority="1588" operator="equal">
      <formula>"优化"</formula>
    </cfRule>
    <cfRule type="cellIs" dxfId="2" priority="1589" operator="equal">
      <formula>"新增"</formula>
    </cfRule>
    <cfRule type="cellIs" dxfId="5" priority="1590" operator="equal">
      <formula>"IVOC"</formula>
    </cfRule>
    <cfRule type="cellIs" dxfId="6" priority="1591" operator="equal">
      <formula>"500/510"</formula>
    </cfRule>
    <cfRule type="cellIs" dxfId="7" priority="1592" operator="equal">
      <formula>"500/510/IVOC"</formula>
    </cfRule>
  </conditionalFormatting>
  <conditionalFormatting sqref="L7">
    <cfRule type="cellIs" dxfId="8" priority="118" operator="equal">
      <formula>"堵塞"</formula>
    </cfRule>
    <cfRule type="cellIs" dxfId="0" priority="119" operator="equal">
      <formula>"不通过"</formula>
    </cfRule>
    <cfRule type="cellIs" dxfId="1" priority="120" operator="equal">
      <formula>"通过"</formula>
    </cfRule>
  </conditionalFormatting>
  <conditionalFormatting sqref="C8">
    <cfRule type="cellIs" dxfId="9" priority="1539" operator="equal">
      <formula>"3级"</formula>
    </cfRule>
    <cfRule type="cellIs" dxfId="2" priority="1540" operator="equal">
      <formula>"2级"</formula>
    </cfRule>
    <cfRule type="cellIs" dxfId="10" priority="1541" operator="equal">
      <formula>"1级"</formula>
    </cfRule>
  </conditionalFormatting>
  <conditionalFormatting sqref="E8">
    <cfRule type="cellIs" dxfId="1" priority="1525" operator="equal">
      <formula>"新增"</formula>
    </cfRule>
    <cfRule type="cellIs" dxfId="11" priority="1532" operator="equal">
      <formula>"废弃"</formula>
    </cfRule>
    <cfRule type="cellIs" dxfId="12" priority="1533" operator="equal">
      <formula>"更新"</formula>
    </cfRule>
    <cfRule type="cellIs" dxfId="13" priority="1534" operator="equal">
      <formula>"优化"</formula>
    </cfRule>
    <cfRule type="cellIs" dxfId="2" priority="1535" operator="equal">
      <formula>"新增"</formula>
    </cfRule>
    <cfRule type="cellIs" dxfId="5" priority="1536" operator="equal">
      <formula>"IVOC"</formula>
    </cfRule>
    <cfRule type="cellIs" dxfId="6" priority="1537" operator="equal">
      <formula>"500/510"</formula>
    </cfRule>
    <cfRule type="cellIs" dxfId="7" priority="1538" operator="equal">
      <formula>"500/510/IVOC"</formula>
    </cfRule>
  </conditionalFormatting>
  <conditionalFormatting sqref="L8">
    <cfRule type="cellIs" dxfId="8" priority="115" operator="equal">
      <formula>"堵塞"</formula>
    </cfRule>
    <cfRule type="cellIs" dxfId="0" priority="116" operator="equal">
      <formula>"不通过"</formula>
    </cfRule>
    <cfRule type="cellIs" dxfId="1" priority="117" operator="equal">
      <formula>"通过"</formula>
    </cfRule>
  </conditionalFormatting>
  <conditionalFormatting sqref="C9">
    <cfRule type="cellIs" dxfId="9" priority="1485" operator="equal">
      <formula>"3级"</formula>
    </cfRule>
    <cfRule type="cellIs" dxfId="2" priority="1486" operator="equal">
      <formula>"2级"</formula>
    </cfRule>
    <cfRule type="cellIs" dxfId="10" priority="1487" operator="equal">
      <formula>"1级"</formula>
    </cfRule>
  </conditionalFormatting>
  <conditionalFormatting sqref="E9">
    <cfRule type="cellIs" dxfId="1" priority="1471" operator="equal">
      <formula>"新增"</formula>
    </cfRule>
    <cfRule type="cellIs" dxfId="11" priority="1478" operator="equal">
      <formula>"废弃"</formula>
    </cfRule>
    <cfRule type="cellIs" dxfId="12" priority="1479" operator="equal">
      <formula>"更新"</formula>
    </cfRule>
    <cfRule type="cellIs" dxfId="13" priority="1480" operator="equal">
      <formula>"优化"</formula>
    </cfRule>
    <cfRule type="cellIs" dxfId="2" priority="1481" operator="equal">
      <formula>"新增"</formula>
    </cfRule>
    <cfRule type="cellIs" dxfId="5" priority="1482" operator="equal">
      <formula>"IVOC"</formula>
    </cfRule>
    <cfRule type="cellIs" dxfId="6" priority="1483" operator="equal">
      <formula>"500/510"</formula>
    </cfRule>
    <cfRule type="cellIs" dxfId="7" priority="1484" operator="equal">
      <formula>"500/510/IVOC"</formula>
    </cfRule>
  </conditionalFormatting>
  <conditionalFormatting sqref="L9">
    <cfRule type="cellIs" dxfId="8" priority="108" operator="equal">
      <formula>"堵塞"</formula>
    </cfRule>
    <cfRule type="cellIs" dxfId="0" priority="111" operator="equal">
      <formula>"不通过"</formula>
    </cfRule>
    <cfRule type="cellIs" dxfId="1" priority="114" operator="equal">
      <formula>"通过"</formula>
    </cfRule>
  </conditionalFormatting>
  <conditionalFormatting sqref="C10">
    <cfRule type="cellIs" dxfId="9" priority="1431" operator="equal">
      <formula>"3级"</formula>
    </cfRule>
    <cfRule type="cellIs" dxfId="2" priority="1432" operator="equal">
      <formula>"2级"</formula>
    </cfRule>
    <cfRule type="cellIs" dxfId="10" priority="1433" operator="equal">
      <formula>"1级"</formula>
    </cfRule>
  </conditionalFormatting>
  <conditionalFormatting sqref="E10">
    <cfRule type="cellIs" dxfId="1" priority="1417" operator="equal">
      <formula>"新增"</formula>
    </cfRule>
    <cfRule type="cellIs" dxfId="11" priority="1424" operator="equal">
      <formula>"废弃"</formula>
    </cfRule>
    <cfRule type="cellIs" dxfId="12" priority="1425" operator="equal">
      <formula>"更新"</formula>
    </cfRule>
    <cfRule type="cellIs" dxfId="13" priority="1426" operator="equal">
      <formula>"优化"</formula>
    </cfRule>
    <cfRule type="cellIs" dxfId="2" priority="1427" operator="equal">
      <formula>"新增"</formula>
    </cfRule>
    <cfRule type="cellIs" dxfId="5" priority="1428" operator="equal">
      <formula>"IVOC"</formula>
    </cfRule>
    <cfRule type="cellIs" dxfId="6" priority="1429" operator="equal">
      <formula>"500/510"</formula>
    </cfRule>
    <cfRule type="cellIs" dxfId="7" priority="1430" operator="equal">
      <formula>"500/510/IVOC"</formula>
    </cfRule>
  </conditionalFormatting>
  <conditionalFormatting sqref="L10">
    <cfRule type="cellIs" dxfId="8" priority="107" operator="equal">
      <formula>"堵塞"</formula>
    </cfRule>
    <cfRule type="cellIs" dxfId="0" priority="110" operator="equal">
      <formula>"不通过"</formula>
    </cfRule>
    <cfRule type="cellIs" dxfId="1" priority="113" operator="equal">
      <formula>"通过"</formula>
    </cfRule>
  </conditionalFormatting>
  <conditionalFormatting sqref="C11">
    <cfRule type="cellIs" dxfId="9" priority="1377" operator="equal">
      <formula>"3级"</formula>
    </cfRule>
    <cfRule type="cellIs" dxfId="2" priority="1378" operator="equal">
      <formula>"2级"</formula>
    </cfRule>
    <cfRule type="cellIs" dxfId="10" priority="1379" operator="equal">
      <formula>"1级"</formula>
    </cfRule>
  </conditionalFormatting>
  <conditionalFormatting sqref="E11">
    <cfRule type="cellIs" dxfId="1" priority="1363" operator="equal">
      <formula>"新增"</formula>
    </cfRule>
    <cfRule type="cellIs" dxfId="11" priority="1370" operator="equal">
      <formula>"废弃"</formula>
    </cfRule>
    <cfRule type="cellIs" dxfId="12" priority="1371" operator="equal">
      <formula>"更新"</formula>
    </cfRule>
    <cfRule type="cellIs" dxfId="13" priority="1372" operator="equal">
      <formula>"优化"</formula>
    </cfRule>
    <cfRule type="cellIs" dxfId="2" priority="1373" operator="equal">
      <formula>"新增"</formula>
    </cfRule>
    <cfRule type="cellIs" dxfId="5" priority="1374" operator="equal">
      <formula>"IVOC"</formula>
    </cfRule>
    <cfRule type="cellIs" dxfId="6" priority="1375" operator="equal">
      <formula>"500/510"</formula>
    </cfRule>
    <cfRule type="cellIs" dxfId="7" priority="1376" operator="equal">
      <formula>"500/510/IVOC"</formula>
    </cfRule>
  </conditionalFormatting>
  <conditionalFormatting sqref="L11">
    <cfRule type="cellIs" dxfId="8" priority="106" operator="equal">
      <formula>"堵塞"</formula>
    </cfRule>
    <cfRule type="cellIs" dxfId="0" priority="109" operator="equal">
      <formula>"不通过"</formula>
    </cfRule>
    <cfRule type="cellIs" dxfId="1" priority="112" operator="equal">
      <formula>"通过"</formula>
    </cfRule>
  </conditionalFormatting>
  <conditionalFormatting sqref="C12">
    <cfRule type="cellIs" dxfId="9" priority="1323" operator="equal">
      <formula>"3级"</formula>
    </cfRule>
    <cfRule type="cellIs" dxfId="2" priority="1324" operator="equal">
      <formula>"2级"</formula>
    </cfRule>
    <cfRule type="cellIs" dxfId="10" priority="1325" operator="equal">
      <formula>"1级"</formula>
    </cfRule>
  </conditionalFormatting>
  <conditionalFormatting sqref="E12">
    <cfRule type="cellIs" dxfId="1" priority="1309" operator="equal">
      <formula>"新增"</formula>
    </cfRule>
    <cfRule type="cellIs" dxfId="11" priority="1316" operator="equal">
      <formula>"废弃"</formula>
    </cfRule>
    <cfRule type="cellIs" dxfId="12" priority="1317" operator="equal">
      <formula>"更新"</formula>
    </cfRule>
    <cfRule type="cellIs" dxfId="13" priority="1318" operator="equal">
      <formula>"优化"</formula>
    </cfRule>
    <cfRule type="cellIs" dxfId="2" priority="1319" operator="equal">
      <formula>"新增"</formula>
    </cfRule>
    <cfRule type="cellIs" dxfId="5" priority="1320" operator="equal">
      <formula>"IVOC"</formula>
    </cfRule>
    <cfRule type="cellIs" dxfId="6" priority="1321" operator="equal">
      <formula>"500/510"</formula>
    </cfRule>
    <cfRule type="cellIs" dxfId="7" priority="1322" operator="equal">
      <formula>"500/510/IVOC"</formula>
    </cfRule>
  </conditionalFormatting>
  <conditionalFormatting sqref="L12">
    <cfRule type="cellIs" dxfId="8" priority="75" operator="equal">
      <formula>"堵塞"</formula>
    </cfRule>
    <cfRule type="cellIs" dxfId="0" priority="90" operator="equal">
      <formula>"不通过"</formula>
    </cfRule>
    <cfRule type="cellIs" dxfId="1" priority="105" operator="equal">
      <formula>"通过"</formula>
    </cfRule>
  </conditionalFormatting>
  <conditionalFormatting sqref="C13">
    <cfRule type="cellIs" dxfId="9" priority="1269" operator="equal">
      <formula>"3级"</formula>
    </cfRule>
    <cfRule type="cellIs" dxfId="2" priority="1270" operator="equal">
      <formula>"2级"</formula>
    </cfRule>
    <cfRule type="cellIs" dxfId="10" priority="1271" operator="equal">
      <formula>"1级"</formula>
    </cfRule>
  </conditionalFormatting>
  <conditionalFormatting sqref="E13">
    <cfRule type="cellIs" dxfId="1" priority="1255" operator="equal">
      <formula>"新增"</formula>
    </cfRule>
    <cfRule type="cellIs" dxfId="11" priority="1262" operator="equal">
      <formula>"废弃"</formula>
    </cfRule>
    <cfRule type="cellIs" dxfId="12" priority="1263" operator="equal">
      <formula>"更新"</formula>
    </cfRule>
    <cfRule type="cellIs" dxfId="13" priority="1264" operator="equal">
      <formula>"优化"</formula>
    </cfRule>
    <cfRule type="cellIs" dxfId="2" priority="1265" operator="equal">
      <formula>"新增"</formula>
    </cfRule>
    <cfRule type="cellIs" dxfId="5" priority="1266" operator="equal">
      <formula>"IVOC"</formula>
    </cfRule>
    <cfRule type="cellIs" dxfId="6" priority="1267" operator="equal">
      <formula>"500/510"</formula>
    </cfRule>
    <cfRule type="cellIs" dxfId="7" priority="1268" operator="equal">
      <formula>"500/510/IVOC"</formula>
    </cfRule>
  </conditionalFormatting>
  <conditionalFormatting sqref="L13">
    <cfRule type="cellIs" dxfId="8" priority="74" operator="equal">
      <formula>"堵塞"</formula>
    </cfRule>
    <cfRule type="cellIs" dxfId="0" priority="89" operator="equal">
      <formula>"不通过"</formula>
    </cfRule>
    <cfRule type="cellIs" dxfId="1" priority="104" operator="equal">
      <formula>"通过"</formula>
    </cfRule>
  </conditionalFormatting>
  <conditionalFormatting sqref="C14">
    <cfRule type="cellIs" dxfId="9" priority="1215" operator="equal">
      <formula>"3级"</formula>
    </cfRule>
    <cfRule type="cellIs" dxfId="2" priority="1216" operator="equal">
      <formula>"2级"</formula>
    </cfRule>
    <cfRule type="cellIs" dxfId="10" priority="1217" operator="equal">
      <formula>"1级"</formula>
    </cfRule>
  </conditionalFormatting>
  <conditionalFormatting sqref="E14">
    <cfRule type="cellIs" dxfId="1" priority="1201" operator="equal">
      <formula>"新增"</formula>
    </cfRule>
    <cfRule type="cellIs" dxfId="11" priority="1208" operator="equal">
      <formula>"废弃"</formula>
    </cfRule>
    <cfRule type="cellIs" dxfId="12" priority="1209" operator="equal">
      <formula>"更新"</formula>
    </cfRule>
    <cfRule type="cellIs" dxfId="13" priority="1210" operator="equal">
      <formula>"优化"</formula>
    </cfRule>
    <cfRule type="cellIs" dxfId="2" priority="1211" operator="equal">
      <formula>"新增"</formula>
    </cfRule>
    <cfRule type="cellIs" dxfId="5" priority="1212" operator="equal">
      <formula>"IVOC"</formula>
    </cfRule>
    <cfRule type="cellIs" dxfId="6" priority="1213" operator="equal">
      <formula>"500/510"</formula>
    </cfRule>
    <cfRule type="cellIs" dxfId="7" priority="1214" operator="equal">
      <formula>"500/510/IVOC"</formula>
    </cfRule>
  </conditionalFormatting>
  <conditionalFormatting sqref="L14">
    <cfRule type="cellIs" dxfId="8" priority="73" operator="equal">
      <formula>"堵塞"</formula>
    </cfRule>
    <cfRule type="cellIs" dxfId="0" priority="88" operator="equal">
      <formula>"不通过"</formula>
    </cfRule>
    <cfRule type="cellIs" dxfId="1" priority="103" operator="equal">
      <formula>"通过"</formula>
    </cfRule>
  </conditionalFormatting>
  <conditionalFormatting sqref="C15">
    <cfRule type="cellIs" dxfId="9" priority="1161" operator="equal">
      <formula>"3级"</formula>
    </cfRule>
    <cfRule type="cellIs" dxfId="2" priority="1162" operator="equal">
      <formula>"2级"</formula>
    </cfRule>
    <cfRule type="cellIs" dxfId="10" priority="1163" operator="equal">
      <formula>"1级"</formula>
    </cfRule>
  </conditionalFormatting>
  <conditionalFormatting sqref="E15">
    <cfRule type="cellIs" dxfId="1" priority="1147" operator="equal">
      <formula>"新增"</formula>
    </cfRule>
    <cfRule type="cellIs" dxfId="11" priority="1154" operator="equal">
      <formula>"废弃"</formula>
    </cfRule>
    <cfRule type="cellIs" dxfId="12" priority="1155" operator="equal">
      <formula>"更新"</formula>
    </cfRule>
    <cfRule type="cellIs" dxfId="13" priority="1156" operator="equal">
      <formula>"优化"</formula>
    </cfRule>
    <cfRule type="cellIs" dxfId="2" priority="1157" operator="equal">
      <formula>"新增"</formula>
    </cfRule>
    <cfRule type="cellIs" dxfId="5" priority="1158" operator="equal">
      <formula>"IVOC"</formula>
    </cfRule>
    <cfRule type="cellIs" dxfId="6" priority="1159" operator="equal">
      <formula>"500/510"</formula>
    </cfRule>
    <cfRule type="cellIs" dxfId="7" priority="1160" operator="equal">
      <formula>"500/510/IVOC"</formula>
    </cfRule>
  </conditionalFormatting>
  <conditionalFormatting sqref="L15">
    <cfRule type="cellIs" dxfId="8" priority="72" operator="equal">
      <formula>"堵塞"</formula>
    </cfRule>
    <cfRule type="cellIs" dxfId="0" priority="87" operator="equal">
      <formula>"不通过"</formula>
    </cfRule>
    <cfRule type="cellIs" dxfId="1" priority="102" operator="equal">
      <formula>"通过"</formula>
    </cfRule>
  </conditionalFormatting>
  <conditionalFormatting sqref="C16">
    <cfRule type="cellIs" dxfId="9" priority="1107" operator="equal">
      <formula>"3级"</formula>
    </cfRule>
    <cfRule type="cellIs" dxfId="2" priority="1108" operator="equal">
      <formula>"2级"</formula>
    </cfRule>
    <cfRule type="cellIs" dxfId="10" priority="1109" operator="equal">
      <formula>"1级"</formula>
    </cfRule>
  </conditionalFormatting>
  <conditionalFormatting sqref="E16">
    <cfRule type="cellIs" dxfId="1" priority="1093" operator="equal">
      <formula>"新增"</formula>
    </cfRule>
    <cfRule type="cellIs" dxfId="11" priority="1100" operator="equal">
      <formula>"废弃"</formula>
    </cfRule>
    <cfRule type="cellIs" dxfId="12" priority="1101" operator="equal">
      <formula>"更新"</formula>
    </cfRule>
    <cfRule type="cellIs" dxfId="13" priority="1102" operator="equal">
      <formula>"优化"</formula>
    </cfRule>
    <cfRule type="cellIs" dxfId="2" priority="1103" operator="equal">
      <formula>"新增"</formula>
    </cfRule>
    <cfRule type="cellIs" dxfId="5" priority="1104" operator="equal">
      <formula>"IVOC"</formula>
    </cfRule>
    <cfRule type="cellIs" dxfId="6" priority="1105" operator="equal">
      <formula>"500/510"</formula>
    </cfRule>
    <cfRule type="cellIs" dxfId="7" priority="1106" operator="equal">
      <formula>"500/510/IVOC"</formula>
    </cfRule>
  </conditionalFormatting>
  <conditionalFormatting sqref="L16">
    <cfRule type="cellIs" dxfId="8" priority="71" operator="equal">
      <formula>"堵塞"</formula>
    </cfRule>
    <cfRule type="cellIs" dxfId="0" priority="86" operator="equal">
      <formula>"不通过"</formula>
    </cfRule>
    <cfRule type="cellIs" dxfId="1" priority="101" operator="equal">
      <formula>"通过"</formula>
    </cfRule>
  </conditionalFormatting>
  <conditionalFormatting sqref="C17">
    <cfRule type="cellIs" dxfId="9" priority="1053" operator="equal">
      <formula>"3级"</formula>
    </cfRule>
    <cfRule type="cellIs" dxfId="2" priority="1054" operator="equal">
      <formula>"2级"</formula>
    </cfRule>
    <cfRule type="cellIs" dxfId="10" priority="1055" operator="equal">
      <formula>"1级"</formula>
    </cfRule>
  </conditionalFormatting>
  <conditionalFormatting sqref="E17">
    <cfRule type="cellIs" dxfId="1" priority="1039" operator="equal">
      <formula>"新增"</formula>
    </cfRule>
    <cfRule type="cellIs" dxfId="11" priority="1046" operator="equal">
      <formula>"废弃"</formula>
    </cfRule>
    <cfRule type="cellIs" dxfId="12" priority="1047" operator="equal">
      <formula>"更新"</formula>
    </cfRule>
    <cfRule type="cellIs" dxfId="13" priority="1048" operator="equal">
      <formula>"优化"</formula>
    </cfRule>
    <cfRule type="cellIs" dxfId="2" priority="1049" operator="equal">
      <formula>"新增"</formula>
    </cfRule>
    <cfRule type="cellIs" dxfId="5" priority="1050" operator="equal">
      <formula>"IVOC"</formula>
    </cfRule>
    <cfRule type="cellIs" dxfId="6" priority="1051" operator="equal">
      <formula>"500/510"</formula>
    </cfRule>
    <cfRule type="cellIs" dxfId="7" priority="1052" operator="equal">
      <formula>"500/510/IVOC"</formula>
    </cfRule>
  </conditionalFormatting>
  <conditionalFormatting sqref="L17">
    <cfRule type="cellIs" dxfId="8" priority="70" operator="equal">
      <formula>"堵塞"</formula>
    </cfRule>
    <cfRule type="cellIs" dxfId="0" priority="85" operator="equal">
      <formula>"不通过"</formula>
    </cfRule>
    <cfRule type="cellIs" dxfId="1" priority="100" operator="equal">
      <formula>"通过"</formula>
    </cfRule>
  </conditionalFormatting>
  <conditionalFormatting sqref="C18">
    <cfRule type="cellIs" dxfId="9" priority="999" operator="equal">
      <formula>"3级"</formula>
    </cfRule>
    <cfRule type="cellIs" dxfId="2" priority="1000" operator="equal">
      <formula>"2级"</formula>
    </cfRule>
    <cfRule type="cellIs" dxfId="10" priority="1001" operator="equal">
      <formula>"1级"</formula>
    </cfRule>
  </conditionalFormatting>
  <conditionalFormatting sqref="E18">
    <cfRule type="cellIs" dxfId="1" priority="985" operator="equal">
      <formula>"新增"</formula>
    </cfRule>
    <cfRule type="cellIs" dxfId="11" priority="992" operator="equal">
      <formula>"废弃"</formula>
    </cfRule>
    <cfRule type="cellIs" dxfId="12" priority="993" operator="equal">
      <formula>"更新"</formula>
    </cfRule>
    <cfRule type="cellIs" dxfId="13" priority="994" operator="equal">
      <formula>"优化"</formula>
    </cfRule>
    <cfRule type="cellIs" dxfId="2" priority="995" operator="equal">
      <formula>"新增"</formula>
    </cfRule>
    <cfRule type="cellIs" dxfId="5" priority="996" operator="equal">
      <formula>"IVOC"</formula>
    </cfRule>
    <cfRule type="cellIs" dxfId="6" priority="997" operator="equal">
      <formula>"500/510"</formula>
    </cfRule>
    <cfRule type="cellIs" dxfId="7" priority="998" operator="equal">
      <formula>"500/510/IVOC"</formula>
    </cfRule>
  </conditionalFormatting>
  <conditionalFormatting sqref="L18">
    <cfRule type="cellIs" dxfId="8" priority="69" operator="equal">
      <formula>"堵塞"</formula>
    </cfRule>
    <cfRule type="cellIs" dxfId="0" priority="84" operator="equal">
      <formula>"不通过"</formula>
    </cfRule>
    <cfRule type="cellIs" dxfId="1" priority="99" operator="equal">
      <formula>"通过"</formula>
    </cfRule>
  </conditionalFormatting>
  <conditionalFormatting sqref="C19">
    <cfRule type="cellIs" dxfId="9" priority="945" operator="equal">
      <formula>"3级"</formula>
    </cfRule>
    <cfRule type="cellIs" dxfId="2" priority="946" operator="equal">
      <formula>"2级"</formula>
    </cfRule>
    <cfRule type="cellIs" dxfId="10" priority="947" operator="equal">
      <formula>"1级"</formula>
    </cfRule>
  </conditionalFormatting>
  <conditionalFormatting sqref="E19">
    <cfRule type="cellIs" dxfId="1" priority="931" operator="equal">
      <formula>"新增"</formula>
    </cfRule>
    <cfRule type="cellIs" dxfId="11" priority="938" operator="equal">
      <formula>"废弃"</formula>
    </cfRule>
    <cfRule type="cellIs" dxfId="12" priority="939" operator="equal">
      <formula>"更新"</formula>
    </cfRule>
    <cfRule type="cellIs" dxfId="13" priority="940" operator="equal">
      <formula>"优化"</formula>
    </cfRule>
    <cfRule type="cellIs" dxfId="2" priority="941" operator="equal">
      <formula>"新增"</formula>
    </cfRule>
    <cfRule type="cellIs" dxfId="5" priority="942" operator="equal">
      <formula>"IVOC"</formula>
    </cfRule>
    <cfRule type="cellIs" dxfId="6" priority="943" operator="equal">
      <formula>"500/510"</formula>
    </cfRule>
    <cfRule type="cellIs" dxfId="7" priority="944" operator="equal">
      <formula>"500/510/IVOC"</formula>
    </cfRule>
  </conditionalFormatting>
  <conditionalFormatting sqref="L19">
    <cfRule type="cellIs" dxfId="8" priority="68" operator="equal">
      <formula>"堵塞"</formula>
    </cfRule>
    <cfRule type="cellIs" dxfId="0" priority="83" operator="equal">
      <formula>"不通过"</formula>
    </cfRule>
    <cfRule type="cellIs" dxfId="1" priority="98" operator="equal">
      <formula>"通过"</formula>
    </cfRule>
  </conditionalFormatting>
  <conditionalFormatting sqref="C20">
    <cfRule type="cellIs" dxfId="9" priority="891" operator="equal">
      <formula>"3级"</formula>
    </cfRule>
    <cfRule type="cellIs" dxfId="2" priority="892" operator="equal">
      <formula>"2级"</formula>
    </cfRule>
    <cfRule type="cellIs" dxfId="10" priority="893" operator="equal">
      <formula>"1级"</formula>
    </cfRule>
  </conditionalFormatting>
  <conditionalFormatting sqref="E20">
    <cfRule type="cellIs" dxfId="1" priority="877" operator="equal">
      <formula>"新增"</formula>
    </cfRule>
    <cfRule type="cellIs" dxfId="11" priority="884" operator="equal">
      <formula>"废弃"</formula>
    </cfRule>
    <cfRule type="cellIs" dxfId="12" priority="885" operator="equal">
      <formula>"更新"</formula>
    </cfRule>
    <cfRule type="cellIs" dxfId="13" priority="886" operator="equal">
      <formula>"优化"</formula>
    </cfRule>
    <cfRule type="cellIs" dxfId="2" priority="887" operator="equal">
      <formula>"新增"</formula>
    </cfRule>
    <cfRule type="cellIs" dxfId="5" priority="888" operator="equal">
      <formula>"IVOC"</formula>
    </cfRule>
    <cfRule type="cellIs" dxfId="6" priority="889" operator="equal">
      <formula>"500/510"</formula>
    </cfRule>
    <cfRule type="cellIs" dxfId="7" priority="890" operator="equal">
      <formula>"500/510/IVOC"</formula>
    </cfRule>
  </conditionalFormatting>
  <conditionalFormatting sqref="L20">
    <cfRule type="cellIs" dxfId="8" priority="67" operator="equal">
      <formula>"堵塞"</formula>
    </cfRule>
    <cfRule type="cellIs" dxfId="0" priority="82" operator="equal">
      <formula>"不通过"</formula>
    </cfRule>
    <cfRule type="cellIs" dxfId="1" priority="97" operator="equal">
      <formula>"通过"</formula>
    </cfRule>
  </conditionalFormatting>
  <conditionalFormatting sqref="C21">
    <cfRule type="cellIs" dxfId="9" priority="837" operator="equal">
      <formula>"3级"</formula>
    </cfRule>
    <cfRule type="cellIs" dxfId="2" priority="838" operator="equal">
      <formula>"2级"</formula>
    </cfRule>
    <cfRule type="cellIs" dxfId="10" priority="839" operator="equal">
      <formula>"1级"</formula>
    </cfRule>
  </conditionalFormatting>
  <conditionalFormatting sqref="E21">
    <cfRule type="cellIs" dxfId="1" priority="823" operator="equal">
      <formula>"新增"</formula>
    </cfRule>
    <cfRule type="cellIs" dxfId="11" priority="830" operator="equal">
      <formula>"废弃"</formula>
    </cfRule>
    <cfRule type="cellIs" dxfId="12" priority="831" operator="equal">
      <formula>"更新"</formula>
    </cfRule>
    <cfRule type="cellIs" dxfId="13" priority="832" operator="equal">
      <formula>"优化"</formula>
    </cfRule>
    <cfRule type="cellIs" dxfId="2" priority="833" operator="equal">
      <formula>"新增"</formula>
    </cfRule>
    <cfRule type="cellIs" dxfId="5" priority="834" operator="equal">
      <formula>"IVOC"</formula>
    </cfRule>
    <cfRule type="cellIs" dxfId="6" priority="835" operator="equal">
      <formula>"500/510"</formula>
    </cfRule>
    <cfRule type="cellIs" dxfId="7" priority="836" operator="equal">
      <formula>"500/510/IVOC"</formula>
    </cfRule>
  </conditionalFormatting>
  <conditionalFormatting sqref="L21">
    <cfRule type="cellIs" dxfId="8" priority="66" operator="equal">
      <formula>"堵塞"</formula>
    </cfRule>
    <cfRule type="cellIs" dxfId="0" priority="81" operator="equal">
      <formula>"不通过"</formula>
    </cfRule>
    <cfRule type="cellIs" dxfId="1" priority="96" operator="equal">
      <formula>"通过"</formula>
    </cfRule>
  </conditionalFormatting>
  <conditionalFormatting sqref="C22">
    <cfRule type="cellIs" dxfId="9" priority="783" operator="equal">
      <formula>"3级"</formula>
    </cfRule>
    <cfRule type="cellIs" dxfId="2" priority="784" operator="equal">
      <formula>"2级"</formula>
    </cfRule>
    <cfRule type="cellIs" dxfId="10" priority="785" operator="equal">
      <formula>"1级"</formula>
    </cfRule>
  </conditionalFormatting>
  <conditionalFormatting sqref="E22">
    <cfRule type="cellIs" dxfId="1" priority="769" operator="equal">
      <formula>"新增"</formula>
    </cfRule>
    <cfRule type="cellIs" dxfId="11" priority="776" operator="equal">
      <formula>"废弃"</formula>
    </cfRule>
    <cfRule type="cellIs" dxfId="12" priority="777" operator="equal">
      <formula>"更新"</formula>
    </cfRule>
    <cfRule type="cellIs" dxfId="13" priority="778" operator="equal">
      <formula>"优化"</formula>
    </cfRule>
    <cfRule type="cellIs" dxfId="2" priority="779" operator="equal">
      <formula>"新增"</formula>
    </cfRule>
    <cfRule type="cellIs" dxfId="5" priority="780" operator="equal">
      <formula>"IVOC"</formula>
    </cfRule>
    <cfRule type="cellIs" dxfId="6" priority="781" operator="equal">
      <formula>"500/510"</formula>
    </cfRule>
    <cfRule type="cellIs" dxfId="7" priority="782" operator="equal">
      <formula>"500/510/IVOC"</formula>
    </cfRule>
  </conditionalFormatting>
  <conditionalFormatting sqref="L22">
    <cfRule type="cellIs" dxfId="8" priority="65" operator="equal">
      <formula>"堵塞"</formula>
    </cfRule>
    <cfRule type="cellIs" dxfId="0" priority="80" operator="equal">
      <formula>"不通过"</formula>
    </cfRule>
    <cfRule type="cellIs" dxfId="1" priority="95" operator="equal">
      <formula>"通过"</formula>
    </cfRule>
  </conditionalFormatting>
  <conditionalFormatting sqref="C23">
    <cfRule type="cellIs" dxfId="9" priority="729" operator="equal">
      <formula>"3级"</formula>
    </cfRule>
    <cfRule type="cellIs" dxfId="2" priority="730" operator="equal">
      <formula>"2级"</formula>
    </cfRule>
    <cfRule type="cellIs" dxfId="10" priority="731" operator="equal">
      <formula>"1级"</formula>
    </cfRule>
  </conditionalFormatting>
  <conditionalFormatting sqref="E23">
    <cfRule type="cellIs" dxfId="1" priority="715" operator="equal">
      <formula>"新增"</formula>
    </cfRule>
    <cfRule type="cellIs" dxfId="11" priority="722" operator="equal">
      <formula>"废弃"</formula>
    </cfRule>
    <cfRule type="cellIs" dxfId="12" priority="723" operator="equal">
      <formula>"更新"</formula>
    </cfRule>
    <cfRule type="cellIs" dxfId="13" priority="724" operator="equal">
      <formula>"优化"</formula>
    </cfRule>
    <cfRule type="cellIs" dxfId="2" priority="725" operator="equal">
      <formula>"新增"</formula>
    </cfRule>
    <cfRule type="cellIs" dxfId="5" priority="726" operator="equal">
      <formula>"IVOC"</formula>
    </cfRule>
    <cfRule type="cellIs" dxfId="6" priority="727" operator="equal">
      <formula>"500/510"</formula>
    </cfRule>
    <cfRule type="cellIs" dxfId="7" priority="728" operator="equal">
      <formula>"500/510/IVOC"</formula>
    </cfRule>
  </conditionalFormatting>
  <conditionalFormatting sqref="L23">
    <cfRule type="cellIs" dxfId="8" priority="64" operator="equal">
      <formula>"堵塞"</formula>
    </cfRule>
    <cfRule type="cellIs" dxfId="0" priority="79" operator="equal">
      <formula>"不通过"</formula>
    </cfRule>
    <cfRule type="cellIs" dxfId="1" priority="94" operator="equal">
      <formula>"通过"</formula>
    </cfRule>
  </conditionalFormatting>
  <conditionalFormatting sqref="C24">
    <cfRule type="cellIs" dxfId="9" priority="675" operator="equal">
      <formula>"3级"</formula>
    </cfRule>
    <cfRule type="cellIs" dxfId="2" priority="676" operator="equal">
      <formula>"2级"</formula>
    </cfRule>
    <cfRule type="cellIs" dxfId="10" priority="677" operator="equal">
      <formula>"1级"</formula>
    </cfRule>
  </conditionalFormatting>
  <conditionalFormatting sqref="E24">
    <cfRule type="cellIs" dxfId="1" priority="661" operator="equal">
      <formula>"新增"</formula>
    </cfRule>
    <cfRule type="cellIs" dxfId="11" priority="668" operator="equal">
      <formula>"废弃"</formula>
    </cfRule>
    <cfRule type="cellIs" dxfId="12" priority="669" operator="equal">
      <formula>"更新"</formula>
    </cfRule>
    <cfRule type="cellIs" dxfId="13" priority="670" operator="equal">
      <formula>"优化"</formula>
    </cfRule>
    <cfRule type="cellIs" dxfId="2" priority="671" operator="equal">
      <formula>"新增"</formula>
    </cfRule>
    <cfRule type="cellIs" dxfId="5" priority="672" operator="equal">
      <formula>"IVOC"</formula>
    </cfRule>
    <cfRule type="cellIs" dxfId="6" priority="673" operator="equal">
      <formula>"500/510"</formula>
    </cfRule>
    <cfRule type="cellIs" dxfId="7" priority="674" operator="equal">
      <formula>"500/510/IVOC"</formula>
    </cfRule>
  </conditionalFormatting>
  <conditionalFormatting sqref="L24">
    <cfRule type="cellIs" dxfId="8" priority="63" operator="equal">
      <formula>"堵塞"</formula>
    </cfRule>
    <cfRule type="cellIs" dxfId="0" priority="78" operator="equal">
      <formula>"不通过"</formula>
    </cfRule>
    <cfRule type="cellIs" dxfId="1" priority="93" operator="equal">
      <formula>"通过"</formula>
    </cfRule>
  </conditionalFormatting>
  <conditionalFormatting sqref="C25">
    <cfRule type="cellIs" dxfId="9" priority="621" operator="equal">
      <formula>"3级"</formula>
    </cfRule>
    <cfRule type="cellIs" dxfId="2" priority="622" operator="equal">
      <formula>"2级"</formula>
    </cfRule>
    <cfRule type="cellIs" dxfId="10" priority="623" operator="equal">
      <formula>"1级"</formula>
    </cfRule>
  </conditionalFormatting>
  <conditionalFormatting sqref="E25">
    <cfRule type="cellIs" dxfId="1" priority="607" operator="equal">
      <formula>"新增"</formula>
    </cfRule>
    <cfRule type="cellIs" dxfId="11" priority="614" operator="equal">
      <formula>"废弃"</formula>
    </cfRule>
    <cfRule type="cellIs" dxfId="12" priority="615" operator="equal">
      <formula>"更新"</formula>
    </cfRule>
    <cfRule type="cellIs" dxfId="13" priority="616" operator="equal">
      <formula>"优化"</formula>
    </cfRule>
    <cfRule type="cellIs" dxfId="2" priority="617" operator="equal">
      <formula>"新增"</formula>
    </cfRule>
    <cfRule type="cellIs" dxfId="5" priority="618" operator="equal">
      <formula>"IVOC"</formula>
    </cfRule>
    <cfRule type="cellIs" dxfId="6" priority="619" operator="equal">
      <formula>"500/510"</formula>
    </cfRule>
    <cfRule type="cellIs" dxfId="7" priority="620" operator="equal">
      <formula>"500/510/IVOC"</formula>
    </cfRule>
  </conditionalFormatting>
  <conditionalFormatting sqref="L25">
    <cfRule type="cellIs" dxfId="8" priority="62" operator="equal">
      <formula>"堵塞"</formula>
    </cfRule>
    <cfRule type="cellIs" dxfId="0" priority="77" operator="equal">
      <formula>"不通过"</formula>
    </cfRule>
    <cfRule type="cellIs" dxfId="1" priority="92" operator="equal">
      <formula>"通过"</formula>
    </cfRule>
  </conditionalFormatting>
  <conditionalFormatting sqref="C26">
    <cfRule type="cellIs" dxfId="9" priority="567" operator="equal">
      <formula>"3级"</formula>
    </cfRule>
    <cfRule type="cellIs" dxfId="2" priority="568" operator="equal">
      <formula>"2级"</formula>
    </cfRule>
    <cfRule type="cellIs" dxfId="10" priority="569" operator="equal">
      <formula>"1级"</formula>
    </cfRule>
  </conditionalFormatting>
  <conditionalFormatting sqref="E26">
    <cfRule type="cellIs" dxfId="1" priority="553" operator="equal">
      <formula>"新增"</formula>
    </cfRule>
    <cfRule type="cellIs" dxfId="11" priority="560" operator="equal">
      <formula>"废弃"</formula>
    </cfRule>
    <cfRule type="cellIs" dxfId="12" priority="561" operator="equal">
      <formula>"更新"</formula>
    </cfRule>
    <cfRule type="cellIs" dxfId="13" priority="562" operator="equal">
      <formula>"优化"</formula>
    </cfRule>
    <cfRule type="cellIs" dxfId="2" priority="563" operator="equal">
      <formula>"新增"</formula>
    </cfRule>
    <cfRule type="cellIs" dxfId="5" priority="564" operator="equal">
      <formula>"IVOC"</formula>
    </cfRule>
    <cfRule type="cellIs" dxfId="6" priority="565" operator="equal">
      <formula>"500/510"</formula>
    </cfRule>
    <cfRule type="cellIs" dxfId="7" priority="566" operator="equal">
      <formula>"500/510/IVOC"</formula>
    </cfRule>
  </conditionalFormatting>
  <conditionalFormatting sqref="L26">
    <cfRule type="cellIs" dxfId="8" priority="61" operator="equal">
      <formula>"堵塞"</formula>
    </cfRule>
    <cfRule type="cellIs" dxfId="0" priority="76" operator="equal">
      <formula>"不通过"</formula>
    </cfRule>
    <cfRule type="cellIs" dxfId="1" priority="91" operator="equal">
      <formula>"通过"</formula>
    </cfRule>
  </conditionalFormatting>
  <conditionalFormatting sqref="C27">
    <cfRule type="cellIs" dxfId="9" priority="513" operator="equal">
      <formula>"3级"</formula>
    </cfRule>
    <cfRule type="cellIs" dxfId="2" priority="514" operator="equal">
      <formula>"2级"</formula>
    </cfRule>
    <cfRule type="cellIs" dxfId="10" priority="515" operator="equal">
      <formula>"1级"</formula>
    </cfRule>
  </conditionalFormatting>
  <conditionalFormatting sqref="E27">
    <cfRule type="cellIs" dxfId="1" priority="499" operator="equal">
      <formula>"新增"</formula>
    </cfRule>
    <cfRule type="cellIs" dxfId="11" priority="506" operator="equal">
      <formula>"废弃"</formula>
    </cfRule>
    <cfRule type="cellIs" dxfId="12" priority="507" operator="equal">
      <formula>"更新"</formula>
    </cfRule>
    <cfRule type="cellIs" dxfId="13" priority="508" operator="equal">
      <formula>"优化"</formula>
    </cfRule>
    <cfRule type="cellIs" dxfId="2" priority="509" operator="equal">
      <formula>"新增"</formula>
    </cfRule>
    <cfRule type="cellIs" dxfId="5" priority="510" operator="equal">
      <formula>"IVOC"</formula>
    </cfRule>
    <cfRule type="cellIs" dxfId="6" priority="511" operator="equal">
      <formula>"500/510"</formula>
    </cfRule>
    <cfRule type="cellIs" dxfId="7" priority="512" operator="equal">
      <formula>"500/510/IVOC"</formula>
    </cfRule>
  </conditionalFormatting>
  <conditionalFormatting sqref="L27">
    <cfRule type="cellIs" dxfId="8" priority="58" operator="equal">
      <formula>"堵塞"</formula>
    </cfRule>
    <cfRule type="cellIs" dxfId="0" priority="59" operator="equal">
      <formula>"不通过"</formula>
    </cfRule>
    <cfRule type="cellIs" dxfId="1" priority="60" operator="equal">
      <formula>"通过"</formula>
    </cfRule>
  </conditionalFormatting>
  <conditionalFormatting sqref="C28">
    <cfRule type="cellIs" dxfId="9" priority="477" operator="equal">
      <formula>"3级"</formula>
    </cfRule>
    <cfRule type="cellIs" dxfId="2" priority="478" operator="equal">
      <formula>"2级"</formula>
    </cfRule>
    <cfRule type="cellIs" dxfId="10" priority="479" operator="equal">
      <formula>"1级"</formula>
    </cfRule>
  </conditionalFormatting>
  <conditionalFormatting sqref="E28">
    <cfRule type="cellIs" dxfId="1" priority="463" operator="equal">
      <formula>"新增"</formula>
    </cfRule>
    <cfRule type="cellIs" dxfId="11" priority="470" operator="equal">
      <formula>"废弃"</formula>
    </cfRule>
    <cfRule type="cellIs" dxfId="12" priority="471" operator="equal">
      <formula>"更新"</formula>
    </cfRule>
    <cfRule type="cellIs" dxfId="13" priority="472" operator="equal">
      <formula>"优化"</formula>
    </cfRule>
    <cfRule type="cellIs" dxfId="2" priority="473" operator="equal">
      <formula>"新增"</formula>
    </cfRule>
    <cfRule type="cellIs" dxfId="5" priority="474" operator="equal">
      <formula>"IVOC"</formula>
    </cfRule>
    <cfRule type="cellIs" dxfId="6" priority="475" operator="equal">
      <formula>"500/510"</formula>
    </cfRule>
    <cfRule type="cellIs" dxfId="7" priority="476" operator="equal">
      <formula>"500/510/IVOC"</formula>
    </cfRule>
  </conditionalFormatting>
  <conditionalFormatting sqref="L28">
    <cfRule type="cellIs" dxfId="8" priority="55" operator="equal">
      <formula>"堵塞"</formula>
    </cfRule>
    <cfRule type="cellIs" dxfId="0" priority="56" operator="equal">
      <formula>"不通过"</formula>
    </cfRule>
    <cfRule type="cellIs" dxfId="1" priority="57" operator="equal">
      <formula>"通过"</formula>
    </cfRule>
  </conditionalFormatting>
  <conditionalFormatting sqref="C29">
    <cfRule type="cellIs" dxfId="9" priority="459" operator="equal">
      <formula>"3级"</formula>
    </cfRule>
    <cfRule type="cellIs" dxfId="2" priority="460" operator="equal">
      <formula>"2级"</formula>
    </cfRule>
    <cfRule type="cellIs" dxfId="10" priority="461" operator="equal">
      <formula>"1级"</formula>
    </cfRule>
  </conditionalFormatting>
  <conditionalFormatting sqref="E29">
    <cfRule type="cellIs" dxfId="1" priority="445" operator="equal">
      <formula>"新增"</formula>
    </cfRule>
    <cfRule type="cellIs" dxfId="11" priority="452" operator="equal">
      <formula>"废弃"</formula>
    </cfRule>
    <cfRule type="cellIs" dxfId="12" priority="453" operator="equal">
      <formula>"更新"</formula>
    </cfRule>
    <cfRule type="cellIs" dxfId="13" priority="454" operator="equal">
      <formula>"优化"</formula>
    </cfRule>
    <cfRule type="cellIs" dxfId="2" priority="455" operator="equal">
      <formula>"新增"</formula>
    </cfRule>
    <cfRule type="cellIs" dxfId="5" priority="456" operator="equal">
      <formula>"IVOC"</formula>
    </cfRule>
    <cfRule type="cellIs" dxfId="6" priority="457" operator="equal">
      <formula>"500/510"</formula>
    </cfRule>
    <cfRule type="cellIs" dxfId="7" priority="458" operator="equal">
      <formula>"500/510/IVOC"</formula>
    </cfRule>
  </conditionalFormatting>
  <conditionalFormatting sqref="L29">
    <cfRule type="cellIs" dxfId="8" priority="34" operator="equal">
      <formula>"堵塞"</formula>
    </cfRule>
    <cfRule type="cellIs" dxfId="0" priority="44" operator="equal">
      <formula>"不通过"</formula>
    </cfRule>
    <cfRule type="cellIs" dxfId="1" priority="54" operator="equal">
      <formula>"通过"</formula>
    </cfRule>
  </conditionalFormatting>
  <conditionalFormatting sqref="C30">
    <cfRule type="cellIs" dxfId="9" priority="441" operator="equal">
      <formula>"3级"</formula>
    </cfRule>
    <cfRule type="cellIs" dxfId="2" priority="442" operator="equal">
      <formula>"2级"</formula>
    </cfRule>
    <cfRule type="cellIs" dxfId="10" priority="443" operator="equal">
      <formula>"1级"</formula>
    </cfRule>
  </conditionalFormatting>
  <conditionalFormatting sqref="E30">
    <cfRule type="cellIs" dxfId="1" priority="427" operator="equal">
      <formula>"新增"</formula>
    </cfRule>
    <cfRule type="cellIs" dxfId="11" priority="434" operator="equal">
      <formula>"废弃"</formula>
    </cfRule>
    <cfRule type="cellIs" dxfId="12" priority="435" operator="equal">
      <formula>"更新"</formula>
    </cfRule>
    <cfRule type="cellIs" dxfId="13" priority="436" operator="equal">
      <formula>"优化"</formula>
    </cfRule>
    <cfRule type="cellIs" dxfId="2" priority="437" operator="equal">
      <formula>"新增"</formula>
    </cfRule>
    <cfRule type="cellIs" dxfId="5" priority="438" operator="equal">
      <formula>"IVOC"</formula>
    </cfRule>
    <cfRule type="cellIs" dxfId="6" priority="439" operator="equal">
      <formula>"500/510"</formula>
    </cfRule>
    <cfRule type="cellIs" dxfId="7" priority="440" operator="equal">
      <formula>"500/510/IVOC"</formula>
    </cfRule>
  </conditionalFormatting>
  <conditionalFormatting sqref="L30">
    <cfRule type="cellIs" dxfId="8" priority="33" operator="equal">
      <formula>"堵塞"</formula>
    </cfRule>
    <cfRule type="cellIs" dxfId="0" priority="43" operator="equal">
      <formula>"不通过"</formula>
    </cfRule>
    <cfRule type="cellIs" dxfId="1" priority="53" operator="equal">
      <formula>"通过"</formula>
    </cfRule>
  </conditionalFormatting>
  <conditionalFormatting sqref="C31">
    <cfRule type="cellIs" dxfId="9" priority="423" operator="equal">
      <formula>"3级"</formula>
    </cfRule>
    <cfRule type="cellIs" dxfId="2" priority="424" operator="equal">
      <formula>"2级"</formula>
    </cfRule>
    <cfRule type="cellIs" dxfId="10" priority="425" operator="equal">
      <formula>"1级"</formula>
    </cfRule>
  </conditionalFormatting>
  <conditionalFormatting sqref="E31">
    <cfRule type="cellIs" dxfId="1" priority="409" operator="equal">
      <formula>"新增"</formula>
    </cfRule>
    <cfRule type="cellIs" dxfId="11" priority="416" operator="equal">
      <formula>"废弃"</formula>
    </cfRule>
    <cfRule type="cellIs" dxfId="12" priority="417" operator="equal">
      <formula>"更新"</formula>
    </cfRule>
    <cfRule type="cellIs" dxfId="13" priority="418" operator="equal">
      <formula>"优化"</formula>
    </cfRule>
    <cfRule type="cellIs" dxfId="2" priority="419" operator="equal">
      <formula>"新增"</formula>
    </cfRule>
    <cfRule type="cellIs" dxfId="5" priority="420" operator="equal">
      <formula>"IVOC"</formula>
    </cfRule>
    <cfRule type="cellIs" dxfId="6" priority="421" operator="equal">
      <formula>"500/510"</formula>
    </cfRule>
    <cfRule type="cellIs" dxfId="7" priority="422" operator="equal">
      <formula>"500/510/IVOC"</formula>
    </cfRule>
  </conditionalFormatting>
  <conditionalFormatting sqref="L31">
    <cfRule type="cellIs" dxfId="8" priority="32" operator="equal">
      <formula>"堵塞"</formula>
    </cfRule>
    <cfRule type="cellIs" dxfId="0" priority="42" operator="equal">
      <formula>"不通过"</formula>
    </cfRule>
    <cfRule type="cellIs" dxfId="1" priority="52" operator="equal">
      <formula>"通过"</formula>
    </cfRule>
  </conditionalFormatting>
  <conditionalFormatting sqref="C32">
    <cfRule type="cellIs" dxfId="9" priority="405" operator="equal">
      <formula>"3级"</formula>
    </cfRule>
    <cfRule type="cellIs" dxfId="2" priority="406" operator="equal">
      <formula>"2级"</formula>
    </cfRule>
    <cfRule type="cellIs" dxfId="10" priority="407" operator="equal">
      <formula>"1级"</formula>
    </cfRule>
  </conditionalFormatting>
  <conditionalFormatting sqref="E32">
    <cfRule type="cellIs" dxfId="1" priority="391" operator="equal">
      <formula>"新增"</formula>
    </cfRule>
    <cfRule type="cellIs" dxfId="11" priority="398" operator="equal">
      <formula>"废弃"</formula>
    </cfRule>
    <cfRule type="cellIs" dxfId="12" priority="399" operator="equal">
      <formula>"更新"</formula>
    </cfRule>
    <cfRule type="cellIs" dxfId="13" priority="400" operator="equal">
      <formula>"优化"</formula>
    </cfRule>
    <cfRule type="cellIs" dxfId="2" priority="401" operator="equal">
      <formula>"新增"</formula>
    </cfRule>
    <cfRule type="cellIs" dxfId="5" priority="402" operator="equal">
      <formula>"IVOC"</formula>
    </cfRule>
    <cfRule type="cellIs" dxfId="6" priority="403" operator="equal">
      <formula>"500/510"</formula>
    </cfRule>
    <cfRule type="cellIs" dxfId="7" priority="404" operator="equal">
      <formula>"500/510/IVOC"</formula>
    </cfRule>
  </conditionalFormatting>
  <conditionalFormatting sqref="L32">
    <cfRule type="cellIs" dxfId="8" priority="31" operator="equal">
      <formula>"堵塞"</formula>
    </cfRule>
    <cfRule type="cellIs" dxfId="0" priority="41" operator="equal">
      <formula>"不通过"</formula>
    </cfRule>
    <cfRule type="cellIs" dxfId="1" priority="51" operator="equal">
      <formula>"通过"</formula>
    </cfRule>
  </conditionalFormatting>
  <conditionalFormatting sqref="C33">
    <cfRule type="cellIs" dxfId="9" priority="387" operator="equal">
      <formula>"3级"</formula>
    </cfRule>
    <cfRule type="cellIs" dxfId="2" priority="388" operator="equal">
      <formula>"2级"</formula>
    </cfRule>
    <cfRule type="cellIs" dxfId="10" priority="389" operator="equal">
      <formula>"1级"</formula>
    </cfRule>
  </conditionalFormatting>
  <conditionalFormatting sqref="E33">
    <cfRule type="cellIs" dxfId="1" priority="373" operator="equal">
      <formula>"新增"</formula>
    </cfRule>
    <cfRule type="cellIs" dxfId="11" priority="380" operator="equal">
      <formula>"废弃"</formula>
    </cfRule>
    <cfRule type="cellIs" dxfId="12" priority="381" operator="equal">
      <formula>"更新"</formula>
    </cfRule>
    <cfRule type="cellIs" dxfId="13" priority="382" operator="equal">
      <formula>"优化"</formula>
    </cfRule>
    <cfRule type="cellIs" dxfId="2" priority="383" operator="equal">
      <formula>"新增"</formula>
    </cfRule>
    <cfRule type="cellIs" dxfId="5" priority="384" operator="equal">
      <formula>"IVOC"</formula>
    </cfRule>
    <cfRule type="cellIs" dxfId="6" priority="385" operator="equal">
      <formula>"500/510"</formula>
    </cfRule>
    <cfRule type="cellIs" dxfId="7" priority="386" operator="equal">
      <formula>"500/510/IVOC"</formula>
    </cfRule>
  </conditionalFormatting>
  <conditionalFormatting sqref="L33">
    <cfRule type="cellIs" dxfId="8" priority="30" operator="equal">
      <formula>"堵塞"</formula>
    </cfRule>
    <cfRule type="cellIs" dxfId="0" priority="40" operator="equal">
      <formula>"不通过"</formula>
    </cfRule>
    <cfRule type="cellIs" dxfId="1" priority="50" operator="equal">
      <formula>"通过"</formula>
    </cfRule>
  </conditionalFormatting>
  <conditionalFormatting sqref="C34">
    <cfRule type="cellIs" dxfId="9" priority="369" operator="equal">
      <formula>"3级"</formula>
    </cfRule>
    <cfRule type="cellIs" dxfId="2" priority="370" operator="equal">
      <formula>"2级"</formula>
    </cfRule>
    <cfRule type="cellIs" dxfId="10" priority="371" operator="equal">
      <formula>"1级"</formula>
    </cfRule>
  </conditionalFormatting>
  <conditionalFormatting sqref="E34">
    <cfRule type="cellIs" dxfId="1" priority="355" operator="equal">
      <formula>"新增"</formula>
    </cfRule>
    <cfRule type="cellIs" dxfId="11" priority="362" operator="equal">
      <formula>"废弃"</formula>
    </cfRule>
    <cfRule type="cellIs" dxfId="12" priority="363" operator="equal">
      <formula>"更新"</formula>
    </cfRule>
    <cfRule type="cellIs" dxfId="13" priority="364" operator="equal">
      <formula>"优化"</formula>
    </cfRule>
    <cfRule type="cellIs" dxfId="2" priority="365" operator="equal">
      <formula>"新增"</formula>
    </cfRule>
    <cfRule type="cellIs" dxfId="5" priority="366" operator="equal">
      <formula>"IVOC"</formula>
    </cfRule>
    <cfRule type="cellIs" dxfId="6" priority="367" operator="equal">
      <formula>"500/510"</formula>
    </cfRule>
    <cfRule type="cellIs" dxfId="7" priority="368" operator="equal">
      <formula>"500/510/IVOC"</formula>
    </cfRule>
  </conditionalFormatting>
  <conditionalFormatting sqref="L34">
    <cfRule type="cellIs" dxfId="8" priority="29" operator="equal">
      <formula>"堵塞"</formula>
    </cfRule>
    <cfRule type="cellIs" dxfId="0" priority="39" operator="equal">
      <formula>"不通过"</formula>
    </cfRule>
    <cfRule type="cellIs" dxfId="1" priority="49" operator="equal">
      <formula>"通过"</formula>
    </cfRule>
  </conditionalFormatting>
  <conditionalFormatting sqref="C35">
    <cfRule type="cellIs" dxfId="9" priority="351" operator="equal">
      <formula>"3级"</formula>
    </cfRule>
    <cfRule type="cellIs" dxfId="2" priority="352" operator="equal">
      <formula>"2级"</formula>
    </cfRule>
    <cfRule type="cellIs" dxfId="10" priority="353" operator="equal">
      <formula>"1级"</formula>
    </cfRule>
  </conditionalFormatting>
  <conditionalFormatting sqref="E35">
    <cfRule type="cellIs" dxfId="1" priority="337" operator="equal">
      <formula>"新增"</formula>
    </cfRule>
    <cfRule type="cellIs" dxfId="11" priority="344" operator="equal">
      <formula>"废弃"</formula>
    </cfRule>
    <cfRule type="cellIs" dxfId="12" priority="345" operator="equal">
      <formula>"更新"</formula>
    </cfRule>
    <cfRule type="cellIs" dxfId="13" priority="346" operator="equal">
      <formula>"优化"</formula>
    </cfRule>
    <cfRule type="cellIs" dxfId="2" priority="347" operator="equal">
      <formula>"新增"</formula>
    </cfRule>
    <cfRule type="cellIs" dxfId="5" priority="348" operator="equal">
      <formula>"IVOC"</formula>
    </cfRule>
    <cfRule type="cellIs" dxfId="6" priority="349" operator="equal">
      <formula>"500/510"</formula>
    </cfRule>
    <cfRule type="cellIs" dxfId="7" priority="350" operator="equal">
      <formula>"500/510/IVOC"</formula>
    </cfRule>
  </conditionalFormatting>
  <conditionalFormatting sqref="L35">
    <cfRule type="cellIs" dxfId="8" priority="28" operator="equal">
      <formula>"堵塞"</formula>
    </cfRule>
    <cfRule type="cellIs" dxfId="0" priority="38" operator="equal">
      <formula>"不通过"</formula>
    </cfRule>
    <cfRule type="cellIs" dxfId="1" priority="48" operator="equal">
      <formula>"通过"</formula>
    </cfRule>
  </conditionalFormatting>
  <conditionalFormatting sqref="C36">
    <cfRule type="cellIs" dxfId="9" priority="333" operator="equal">
      <formula>"3级"</formula>
    </cfRule>
    <cfRule type="cellIs" dxfId="2" priority="334" operator="equal">
      <formula>"2级"</formula>
    </cfRule>
    <cfRule type="cellIs" dxfId="10" priority="335" operator="equal">
      <formula>"1级"</formula>
    </cfRule>
  </conditionalFormatting>
  <conditionalFormatting sqref="E36">
    <cfRule type="cellIs" dxfId="1" priority="319" operator="equal">
      <formula>"新增"</formula>
    </cfRule>
    <cfRule type="cellIs" dxfId="11" priority="326" operator="equal">
      <formula>"废弃"</formula>
    </cfRule>
    <cfRule type="cellIs" dxfId="12" priority="327" operator="equal">
      <formula>"更新"</formula>
    </cfRule>
    <cfRule type="cellIs" dxfId="13" priority="328" operator="equal">
      <formula>"优化"</formula>
    </cfRule>
    <cfRule type="cellIs" dxfId="2" priority="329" operator="equal">
      <formula>"新增"</formula>
    </cfRule>
    <cfRule type="cellIs" dxfId="5" priority="330" operator="equal">
      <formula>"IVOC"</formula>
    </cfRule>
    <cfRule type="cellIs" dxfId="6" priority="331" operator="equal">
      <formula>"500/510"</formula>
    </cfRule>
    <cfRule type="cellIs" dxfId="7" priority="332" operator="equal">
      <formula>"500/510/IVOC"</formula>
    </cfRule>
  </conditionalFormatting>
  <conditionalFormatting sqref="L36">
    <cfRule type="cellIs" dxfId="8" priority="27" operator="equal">
      <formula>"堵塞"</formula>
    </cfRule>
    <cfRule type="cellIs" dxfId="0" priority="37" operator="equal">
      <formula>"不通过"</formula>
    </cfRule>
    <cfRule type="cellIs" dxfId="1" priority="47" operator="equal">
      <formula>"通过"</formula>
    </cfRule>
  </conditionalFormatting>
  <conditionalFormatting sqref="C37">
    <cfRule type="cellIs" dxfId="9" priority="315" operator="equal">
      <formula>"3级"</formula>
    </cfRule>
    <cfRule type="cellIs" dxfId="2" priority="316" operator="equal">
      <formula>"2级"</formula>
    </cfRule>
    <cfRule type="cellIs" dxfId="10" priority="317" operator="equal">
      <formula>"1级"</formula>
    </cfRule>
  </conditionalFormatting>
  <conditionalFormatting sqref="E37">
    <cfRule type="cellIs" dxfId="1" priority="301" operator="equal">
      <formula>"新增"</formula>
    </cfRule>
    <cfRule type="cellIs" dxfId="11" priority="308" operator="equal">
      <formula>"废弃"</formula>
    </cfRule>
    <cfRule type="cellIs" dxfId="12" priority="309" operator="equal">
      <formula>"更新"</formula>
    </cfRule>
    <cfRule type="cellIs" dxfId="13" priority="310" operator="equal">
      <formula>"优化"</formula>
    </cfRule>
    <cfRule type="cellIs" dxfId="2" priority="311" operator="equal">
      <formula>"新增"</formula>
    </cfRule>
    <cfRule type="cellIs" dxfId="5" priority="312" operator="equal">
      <formula>"IVOC"</formula>
    </cfRule>
    <cfRule type="cellIs" dxfId="6" priority="313" operator="equal">
      <formula>"500/510"</formula>
    </cfRule>
    <cfRule type="cellIs" dxfId="7" priority="314" operator="equal">
      <formula>"500/510/IVOC"</formula>
    </cfRule>
  </conditionalFormatting>
  <conditionalFormatting sqref="L37">
    <cfRule type="cellIs" dxfId="8" priority="26" operator="equal">
      <formula>"堵塞"</formula>
    </cfRule>
    <cfRule type="cellIs" dxfId="0" priority="36" operator="equal">
      <formula>"不通过"</formula>
    </cfRule>
    <cfRule type="cellIs" dxfId="1" priority="46" operator="equal">
      <formula>"通过"</formula>
    </cfRule>
  </conditionalFormatting>
  <conditionalFormatting sqref="C38">
    <cfRule type="cellIs" dxfId="9" priority="297" operator="equal">
      <formula>"3级"</formula>
    </cfRule>
    <cfRule type="cellIs" dxfId="2" priority="298" operator="equal">
      <formula>"2级"</formula>
    </cfRule>
    <cfRule type="cellIs" dxfId="10" priority="299" operator="equal">
      <formula>"1级"</formula>
    </cfRule>
  </conditionalFormatting>
  <conditionalFormatting sqref="E38">
    <cfRule type="cellIs" dxfId="1" priority="283" operator="equal">
      <formula>"新增"</formula>
    </cfRule>
    <cfRule type="cellIs" dxfId="11" priority="290" operator="equal">
      <formula>"废弃"</formula>
    </cfRule>
    <cfRule type="cellIs" dxfId="12" priority="291" operator="equal">
      <formula>"更新"</formula>
    </cfRule>
    <cfRule type="cellIs" dxfId="13" priority="292" operator="equal">
      <formula>"优化"</formula>
    </cfRule>
    <cfRule type="cellIs" dxfId="2" priority="293" operator="equal">
      <formula>"新增"</formula>
    </cfRule>
    <cfRule type="cellIs" dxfId="5" priority="294" operator="equal">
      <formula>"IVOC"</formula>
    </cfRule>
    <cfRule type="cellIs" dxfId="6" priority="295" operator="equal">
      <formula>"500/510"</formula>
    </cfRule>
    <cfRule type="cellIs" dxfId="7" priority="296" operator="equal">
      <formula>"500/510/IVOC"</formula>
    </cfRule>
  </conditionalFormatting>
  <conditionalFormatting sqref="L38">
    <cfRule type="cellIs" dxfId="8" priority="25" operator="equal">
      <formula>"堵塞"</formula>
    </cfRule>
    <cfRule type="cellIs" dxfId="0" priority="35" operator="equal">
      <formula>"不通过"</formula>
    </cfRule>
    <cfRule type="cellIs" dxfId="1" priority="45" operator="equal">
      <formula>"通过"</formula>
    </cfRule>
  </conditionalFormatting>
  <conditionalFormatting sqref="C39">
    <cfRule type="cellIs" dxfId="9" priority="279" operator="equal">
      <formula>"3级"</formula>
    </cfRule>
    <cfRule type="cellIs" dxfId="2" priority="280" operator="equal">
      <formula>"2级"</formula>
    </cfRule>
    <cfRule type="cellIs" dxfId="10" priority="281" operator="equal">
      <formula>"1级"</formula>
    </cfRule>
  </conditionalFormatting>
  <conditionalFormatting sqref="E39">
    <cfRule type="cellIs" dxfId="1" priority="265" operator="equal">
      <formula>"新增"</formula>
    </cfRule>
    <cfRule type="cellIs" dxfId="11" priority="272" operator="equal">
      <formula>"废弃"</formula>
    </cfRule>
    <cfRule type="cellIs" dxfId="12" priority="273" operator="equal">
      <formula>"更新"</formula>
    </cfRule>
    <cfRule type="cellIs" dxfId="13" priority="274" operator="equal">
      <formula>"优化"</formula>
    </cfRule>
    <cfRule type="cellIs" dxfId="2" priority="275" operator="equal">
      <formula>"新增"</formula>
    </cfRule>
    <cfRule type="cellIs" dxfId="5" priority="276" operator="equal">
      <formula>"IVOC"</formula>
    </cfRule>
    <cfRule type="cellIs" dxfId="6" priority="277" operator="equal">
      <formula>"500/510"</formula>
    </cfRule>
    <cfRule type="cellIs" dxfId="7" priority="278" operator="equal">
      <formula>"500/510/IVOC"</formula>
    </cfRule>
  </conditionalFormatting>
  <conditionalFormatting sqref="L39">
    <cfRule type="cellIs" dxfId="8" priority="8" operator="equal">
      <formula>"堵塞"</formula>
    </cfRule>
    <cfRule type="cellIs" dxfId="0" priority="16" operator="equal">
      <formula>"不通过"</formula>
    </cfRule>
    <cfRule type="cellIs" dxfId="1" priority="24" operator="equal">
      <formula>"通过"</formula>
    </cfRule>
  </conditionalFormatting>
  <conditionalFormatting sqref="C40">
    <cfRule type="cellIs" dxfId="9" priority="261" operator="equal">
      <formula>"3级"</formula>
    </cfRule>
    <cfRule type="cellIs" dxfId="2" priority="262" operator="equal">
      <formula>"2级"</formula>
    </cfRule>
    <cfRule type="cellIs" dxfId="10" priority="263" operator="equal">
      <formula>"1级"</formula>
    </cfRule>
  </conditionalFormatting>
  <conditionalFormatting sqref="E40">
    <cfRule type="cellIs" dxfId="1" priority="247" operator="equal">
      <formula>"新增"</formula>
    </cfRule>
    <cfRule type="cellIs" dxfId="11" priority="254" operator="equal">
      <formula>"废弃"</formula>
    </cfRule>
    <cfRule type="cellIs" dxfId="12" priority="255" operator="equal">
      <formula>"更新"</formula>
    </cfRule>
    <cfRule type="cellIs" dxfId="13" priority="256" operator="equal">
      <formula>"优化"</formula>
    </cfRule>
    <cfRule type="cellIs" dxfId="2" priority="257" operator="equal">
      <formula>"新增"</formula>
    </cfRule>
    <cfRule type="cellIs" dxfId="5" priority="258" operator="equal">
      <formula>"IVOC"</formula>
    </cfRule>
    <cfRule type="cellIs" dxfId="6" priority="259" operator="equal">
      <formula>"500/510"</formula>
    </cfRule>
    <cfRule type="cellIs" dxfId="7" priority="260" operator="equal">
      <formula>"500/510/IVOC"</formula>
    </cfRule>
  </conditionalFormatting>
  <conditionalFormatting sqref="L40">
    <cfRule type="cellIs" dxfId="8" priority="7" operator="equal">
      <formula>"堵塞"</formula>
    </cfRule>
    <cfRule type="cellIs" dxfId="0" priority="15" operator="equal">
      <formula>"不通过"</formula>
    </cfRule>
    <cfRule type="cellIs" dxfId="1" priority="23" operator="equal">
      <formula>"通过"</formula>
    </cfRule>
  </conditionalFormatting>
  <conditionalFormatting sqref="C41">
    <cfRule type="cellIs" dxfId="9" priority="243" operator="equal">
      <formula>"3级"</formula>
    </cfRule>
    <cfRule type="cellIs" dxfId="2" priority="244" operator="equal">
      <formula>"2级"</formula>
    </cfRule>
    <cfRule type="cellIs" dxfId="10" priority="245" operator="equal">
      <formula>"1级"</formula>
    </cfRule>
  </conditionalFormatting>
  <conditionalFormatting sqref="E41">
    <cfRule type="cellIs" dxfId="1" priority="229" operator="equal">
      <formula>"新增"</formula>
    </cfRule>
    <cfRule type="cellIs" dxfId="11" priority="236" operator="equal">
      <formula>"废弃"</formula>
    </cfRule>
    <cfRule type="cellIs" dxfId="12" priority="237" operator="equal">
      <formula>"更新"</formula>
    </cfRule>
    <cfRule type="cellIs" dxfId="13" priority="238" operator="equal">
      <formula>"优化"</formula>
    </cfRule>
    <cfRule type="cellIs" dxfId="2" priority="239" operator="equal">
      <formula>"新增"</formula>
    </cfRule>
    <cfRule type="cellIs" dxfId="5" priority="240" operator="equal">
      <formula>"IVOC"</formula>
    </cfRule>
    <cfRule type="cellIs" dxfId="6" priority="241" operator="equal">
      <formula>"500/510"</formula>
    </cfRule>
    <cfRule type="cellIs" dxfId="7" priority="242" operator="equal">
      <formula>"500/510/IVOC"</formula>
    </cfRule>
  </conditionalFormatting>
  <conditionalFormatting sqref="L41">
    <cfRule type="cellIs" dxfId="8" priority="6" operator="equal">
      <formula>"堵塞"</formula>
    </cfRule>
    <cfRule type="cellIs" dxfId="0" priority="14" operator="equal">
      <formula>"不通过"</formula>
    </cfRule>
    <cfRule type="cellIs" dxfId="1" priority="22" operator="equal">
      <formula>"通过"</formula>
    </cfRule>
  </conditionalFormatting>
  <conditionalFormatting sqref="C42">
    <cfRule type="cellIs" dxfId="9" priority="225" operator="equal">
      <formula>"3级"</formula>
    </cfRule>
    <cfRule type="cellIs" dxfId="2" priority="226" operator="equal">
      <formula>"2级"</formula>
    </cfRule>
    <cfRule type="cellIs" dxfId="10" priority="227" operator="equal">
      <formula>"1级"</formula>
    </cfRule>
  </conditionalFormatting>
  <conditionalFormatting sqref="E42">
    <cfRule type="cellIs" dxfId="1" priority="211" operator="equal">
      <formula>"新增"</formula>
    </cfRule>
    <cfRule type="cellIs" dxfId="11" priority="218" operator="equal">
      <formula>"废弃"</formula>
    </cfRule>
    <cfRule type="cellIs" dxfId="12" priority="219" operator="equal">
      <formula>"更新"</formula>
    </cfRule>
    <cfRule type="cellIs" dxfId="13" priority="220" operator="equal">
      <formula>"优化"</formula>
    </cfRule>
    <cfRule type="cellIs" dxfId="2" priority="221" operator="equal">
      <formula>"新增"</formula>
    </cfRule>
    <cfRule type="cellIs" dxfId="5" priority="222" operator="equal">
      <formula>"IVOC"</formula>
    </cfRule>
    <cfRule type="cellIs" dxfId="6" priority="223" operator="equal">
      <formula>"500/510"</formula>
    </cfRule>
    <cfRule type="cellIs" dxfId="7" priority="224" operator="equal">
      <formula>"500/510/IVOC"</formula>
    </cfRule>
  </conditionalFormatting>
  <conditionalFormatting sqref="L42">
    <cfRule type="cellIs" dxfId="8" priority="5" operator="equal">
      <formula>"堵塞"</formula>
    </cfRule>
    <cfRule type="cellIs" dxfId="0" priority="13" operator="equal">
      <formula>"不通过"</formula>
    </cfRule>
    <cfRule type="cellIs" dxfId="1" priority="21" operator="equal">
      <formula>"通过"</formula>
    </cfRule>
  </conditionalFormatting>
  <conditionalFormatting sqref="C43">
    <cfRule type="cellIs" dxfId="9" priority="207" operator="equal">
      <formula>"3级"</formula>
    </cfRule>
    <cfRule type="cellIs" dxfId="2" priority="208" operator="equal">
      <formula>"2级"</formula>
    </cfRule>
    <cfRule type="cellIs" dxfId="10" priority="209" operator="equal">
      <formula>"1级"</formula>
    </cfRule>
  </conditionalFormatting>
  <conditionalFormatting sqref="E43">
    <cfRule type="cellIs" dxfId="1" priority="193" operator="equal">
      <formula>"新增"</formula>
    </cfRule>
    <cfRule type="cellIs" dxfId="11" priority="200" operator="equal">
      <formula>"废弃"</formula>
    </cfRule>
    <cfRule type="cellIs" dxfId="12" priority="201" operator="equal">
      <formula>"更新"</formula>
    </cfRule>
    <cfRule type="cellIs" dxfId="13" priority="202" operator="equal">
      <formula>"优化"</formula>
    </cfRule>
    <cfRule type="cellIs" dxfId="2" priority="203" operator="equal">
      <formula>"新增"</formula>
    </cfRule>
    <cfRule type="cellIs" dxfId="5" priority="204" operator="equal">
      <formula>"IVOC"</formula>
    </cfRule>
    <cfRule type="cellIs" dxfId="6" priority="205" operator="equal">
      <formula>"500/510"</formula>
    </cfRule>
    <cfRule type="cellIs" dxfId="7" priority="206" operator="equal">
      <formula>"500/510/IVOC"</formula>
    </cfRule>
  </conditionalFormatting>
  <conditionalFormatting sqref="L43">
    <cfRule type="cellIs" dxfId="8" priority="4" operator="equal">
      <formula>"堵塞"</formula>
    </cfRule>
    <cfRule type="cellIs" dxfId="0" priority="12" operator="equal">
      <formula>"不通过"</formula>
    </cfRule>
    <cfRule type="cellIs" dxfId="1" priority="20" operator="equal">
      <formula>"通过"</formula>
    </cfRule>
  </conditionalFormatting>
  <conditionalFormatting sqref="C44">
    <cfRule type="cellIs" dxfId="9" priority="189" operator="equal">
      <formula>"3级"</formula>
    </cfRule>
    <cfRule type="cellIs" dxfId="2" priority="190" operator="equal">
      <formula>"2级"</formula>
    </cfRule>
    <cfRule type="cellIs" dxfId="10" priority="191" operator="equal">
      <formula>"1级"</formula>
    </cfRule>
  </conditionalFormatting>
  <conditionalFormatting sqref="E44">
    <cfRule type="cellIs" dxfId="1" priority="175" operator="equal">
      <formula>"新增"</formula>
    </cfRule>
    <cfRule type="cellIs" dxfId="11" priority="182" operator="equal">
      <formula>"废弃"</formula>
    </cfRule>
    <cfRule type="cellIs" dxfId="12" priority="183" operator="equal">
      <formula>"更新"</formula>
    </cfRule>
    <cfRule type="cellIs" dxfId="13" priority="184" operator="equal">
      <formula>"优化"</formula>
    </cfRule>
    <cfRule type="cellIs" dxfId="2" priority="185" operator="equal">
      <formula>"新增"</formula>
    </cfRule>
    <cfRule type="cellIs" dxfId="5" priority="186" operator="equal">
      <formula>"IVOC"</formula>
    </cfRule>
    <cfRule type="cellIs" dxfId="6" priority="187" operator="equal">
      <formula>"500/510"</formula>
    </cfRule>
    <cfRule type="cellIs" dxfId="7" priority="188" operator="equal">
      <formula>"500/510/IVOC"</formula>
    </cfRule>
  </conditionalFormatting>
  <conditionalFormatting sqref="L44">
    <cfRule type="cellIs" dxfId="8" priority="3" operator="equal">
      <formula>"堵塞"</formula>
    </cfRule>
    <cfRule type="cellIs" dxfId="0" priority="11" operator="equal">
      <formula>"不通过"</formula>
    </cfRule>
    <cfRule type="cellIs" dxfId="1" priority="19" operator="equal">
      <formula>"通过"</formula>
    </cfRule>
  </conditionalFormatting>
  <conditionalFormatting sqref="C45">
    <cfRule type="cellIs" dxfId="9" priority="163" operator="equal">
      <formula>"3级"</formula>
    </cfRule>
    <cfRule type="cellIs" dxfId="2" priority="164" operator="equal">
      <formula>"2级"</formula>
    </cfRule>
    <cfRule type="cellIs" dxfId="10" priority="165" operator="equal">
      <formula>"1级"</formula>
    </cfRule>
  </conditionalFormatting>
  <conditionalFormatting sqref="E45">
    <cfRule type="cellIs" dxfId="1" priority="155" operator="equal">
      <formula>"新增"</formula>
    </cfRule>
    <cfRule type="cellIs" dxfId="11" priority="156" operator="equal">
      <formula>"废弃"</formula>
    </cfRule>
    <cfRule type="cellIs" dxfId="12" priority="157" operator="equal">
      <formula>"更新"</formula>
    </cfRule>
    <cfRule type="cellIs" dxfId="13" priority="158" operator="equal">
      <formula>"优化"</formula>
    </cfRule>
    <cfRule type="cellIs" dxfId="2" priority="159" operator="equal">
      <formula>"新增"</formula>
    </cfRule>
    <cfRule type="cellIs" dxfId="5" priority="160" operator="equal">
      <formula>"IVOC"</formula>
    </cfRule>
    <cfRule type="cellIs" dxfId="6" priority="161" operator="equal">
      <formula>"500/510"</formula>
    </cfRule>
    <cfRule type="cellIs" dxfId="7" priority="162" operator="equal">
      <formula>"500/510/IVOC"</formula>
    </cfRule>
  </conditionalFormatting>
  <conditionalFormatting sqref="L45">
    <cfRule type="cellIs" dxfId="8" priority="2" operator="equal">
      <formula>"堵塞"</formula>
    </cfRule>
    <cfRule type="cellIs" dxfId="0" priority="10" operator="equal">
      <formula>"不通过"</formula>
    </cfRule>
    <cfRule type="cellIs" dxfId="1" priority="18" operator="equal">
      <formula>"通过"</formula>
    </cfRule>
  </conditionalFormatting>
  <conditionalFormatting sqref="C46">
    <cfRule type="cellIs" dxfId="9" priority="152" operator="equal">
      <formula>"3级"</formula>
    </cfRule>
    <cfRule type="cellIs" dxfId="2" priority="153" operator="equal">
      <formula>"2级"</formula>
    </cfRule>
    <cfRule type="cellIs" dxfId="10" priority="154" operator="equal">
      <formula>"1级"</formula>
    </cfRule>
  </conditionalFormatting>
  <conditionalFormatting sqref="E46">
    <cfRule type="cellIs" dxfId="1" priority="144" operator="equal">
      <formula>"新增"</formula>
    </cfRule>
    <cfRule type="cellIs" dxfId="11" priority="145" operator="equal">
      <formula>"废弃"</formula>
    </cfRule>
    <cfRule type="cellIs" dxfId="12" priority="146" operator="equal">
      <formula>"更新"</formula>
    </cfRule>
    <cfRule type="cellIs" dxfId="13" priority="147" operator="equal">
      <formula>"优化"</formula>
    </cfRule>
    <cfRule type="cellIs" dxfId="2" priority="148" operator="equal">
      <formula>"新增"</formula>
    </cfRule>
    <cfRule type="cellIs" dxfId="5" priority="149" operator="equal">
      <formula>"IVOC"</formula>
    </cfRule>
    <cfRule type="cellIs" dxfId="6" priority="150" operator="equal">
      <formula>"500/510"</formula>
    </cfRule>
    <cfRule type="cellIs" dxfId="7" priority="151" operator="equal">
      <formula>"500/510/IVOC"</formula>
    </cfRule>
  </conditionalFormatting>
  <conditionalFormatting sqref="L46">
    <cfRule type="cellIs" dxfId="8" priority="1" operator="equal">
      <formula>"堵塞"</formula>
    </cfRule>
    <cfRule type="cellIs" dxfId="0" priority="9" operator="equal">
      <formula>"不通过"</formula>
    </cfRule>
    <cfRule type="cellIs" dxfId="1" priority="17" operator="equal">
      <formula>"通过"</formula>
    </cfRule>
  </conditionalFormatting>
  <conditionalFormatting sqref="F2:F44">
    <cfRule type="cellIs" dxfId="1" priority="166" operator="equal">
      <formula>"是"</formula>
    </cfRule>
    <cfRule type="cellIs" dxfId="1" priority="167" operator="equal">
      <formula>"新增"</formula>
    </cfRule>
    <cfRule type="cellIs" dxfId="2" priority="168" operator="equal">
      <formula>"是"</formula>
    </cfRule>
    <cfRule type="cellIs" dxfId="3" priority="169" operator="equal">
      <formula>"否"</formula>
    </cfRule>
    <cfRule type="cellIs" dxfId="4" priority="170" operator="equal">
      <formula>"是"</formula>
    </cfRule>
    <cfRule type="cellIs" dxfId="5" priority="171" operator="equal">
      <formula>"IVOC"</formula>
    </cfRule>
    <cfRule type="cellIs" dxfId="6" priority="172" operator="equal">
      <formula>"500/510"</formula>
    </cfRule>
    <cfRule type="cellIs" dxfId="7" priority="173" operator="equal">
      <formula>"500/510/IVOC"</formula>
    </cfRule>
  </conditionalFormatting>
  <conditionalFormatting sqref="F45:F46">
    <cfRule type="cellIs" dxfId="1" priority="136" operator="equal">
      <formula>"是"</formula>
    </cfRule>
    <cfRule type="cellIs" dxfId="1" priority="137" operator="equal">
      <formula>"新增"</formula>
    </cfRule>
    <cfRule type="cellIs" dxfId="2" priority="138" operator="equal">
      <formula>"是"</formula>
    </cfRule>
    <cfRule type="cellIs" dxfId="3" priority="139" operator="equal">
      <formula>"否"</formula>
    </cfRule>
    <cfRule type="cellIs" dxfId="4" priority="140" operator="equal">
      <formula>"是"</formula>
    </cfRule>
    <cfRule type="cellIs" dxfId="5" priority="141" operator="equal">
      <formula>"IVOC"</formula>
    </cfRule>
    <cfRule type="cellIs" dxfId="6" priority="142" operator="equal">
      <formula>"500/510"</formula>
    </cfRule>
    <cfRule type="cellIs" dxfId="7" priority="143" operator="equal">
      <formula>"500/510/IVOC"</formula>
    </cfRule>
  </conditionalFormatting>
  <dataValidations count="5">
    <dataValidation type="list" allowBlank="1" showInputMessage="1" showErrorMessage="1" sqref="L1">
      <formula1>"通过,不通过"</formula1>
    </dataValidation>
    <dataValidation type="list" allowBlank="1" showInputMessage="1" showErrorMessage="1" sqref="C2:C46">
      <formula1>"1级,2级,3级"</formula1>
    </dataValidation>
    <dataValidation type="list" allowBlank="1" showInputMessage="1" showErrorMessage="1" sqref="E2:E46">
      <formula1>"新增,优化,更新,废弃,初始"</formula1>
    </dataValidation>
    <dataValidation type="list" allowBlank="1" showInputMessage="1" showErrorMessage="1" sqref="F2:F46">
      <formula1>"是,否"</formula1>
    </dataValidation>
    <dataValidation type="list" allowBlank="1" showInputMessage="1" showErrorMessage="1" sqref="L2:L46">
      <formula1>"通过,不通过,堵塞"</formula1>
    </dataValidation>
  </dataValidations>
  <hyperlinks>
    <hyperlink ref="P1" location="总目录!A1" display="返回总目录"/>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总目录</vt:lpstr>
      <vt:lpstr>VOBC</vt:lpstr>
      <vt:lpstr>ATS</vt:lpstr>
      <vt:lpstr>DCS</vt:lpstr>
      <vt:lpstr>AIM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温荣跃</cp:lastModifiedBy>
  <dcterms:created xsi:type="dcterms:W3CDTF">2015-06-05T18:19:00Z</dcterms:created>
  <dcterms:modified xsi:type="dcterms:W3CDTF">2025-07-04T10:56:32Z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FF9D6B1F60464369A2358598A42D2AFD_13</vt:lpwstr>
  </property>
  <property fmtid="{D5CDD505-2E9C-101B-9397-08002B2CF9AE}" pid="3" name="KSOProductBuildVer">
    <vt:lpwstr>2052-12.1.0.21915</vt:lpwstr>
  </property>
</Properties>
</file>